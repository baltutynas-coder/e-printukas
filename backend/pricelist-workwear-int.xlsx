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0" documentId="13_ncr:1_{B0142FDD-B410-4F6F-8747-060427C6333A}" xr6:coauthVersionLast="47" xr6:coauthVersionMax="47" xr10:uidLastSave="{00000000-0000-0000-0000-000000000000}"/>
  <bookViews>
    <workbookView xWindow="28680" yWindow="-105" windowWidth="29040" windowHeight="15720" tabRatio="559" xr2:uid="{00000000-000D-0000-FFFF-FFFF00000000}"/>
  </bookViews>
  <sheets>
    <sheet name="COVER" sheetId="8" r:id="rId1"/>
    <sheet name="Instructions" sheetId="22" r:id="rId2"/>
    <sheet name="Tarifa 2026" sheetId="20" r:id="rId3"/>
    <sheet name="PVP 2026" sheetId="21" r:id="rId4"/>
  </sheets>
  <definedNames>
    <definedName name="_xlnm._FilterDatabase" localSheetId="3" hidden="1">'PVP 2026'!$M$26:$T$446</definedName>
    <definedName name="_xlnm._FilterDatabase" localSheetId="2" hidden="1">'Tarifa 2026'!$M$387:$Q$445</definedName>
    <definedName name="_xlnm.Print_Area" localSheetId="3">'PVP 2026'!$A$1:$J$446</definedName>
    <definedName name="_xlnm.Print_Area" localSheetId="2">'Tarifa 2026'!$A$1:$J$447</definedName>
    <definedName name="_xlnm.Print_Titles" localSheetId="3">'PVP 2026'!$1:$4</definedName>
    <definedName name="_xlnm.Print_Titles" localSheetId="2">'Tarifa 2026'!$1:$5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1" i="21" l="1"/>
  <c r="K241" i="21" s="1"/>
  <c r="J242" i="21"/>
  <c r="K242" i="21"/>
  <c r="J243" i="21"/>
  <c r="K243" i="21"/>
  <c r="J244" i="21"/>
  <c r="K244" i="21" s="1"/>
  <c r="J245" i="21"/>
  <c r="K245" i="21"/>
  <c r="K242" i="20"/>
  <c r="K243" i="20"/>
  <c r="K244" i="20"/>
  <c r="K245" i="20"/>
  <c r="K246" i="20"/>
  <c r="J358" i="21"/>
  <c r="K358" i="21" s="1"/>
  <c r="J359" i="21"/>
  <c r="K359" i="21" s="1"/>
  <c r="J360" i="21"/>
  <c r="K360" i="21" s="1"/>
  <c r="J361" i="21"/>
  <c r="K361" i="21" s="1"/>
  <c r="K359" i="20"/>
  <c r="K360" i="20"/>
  <c r="K361" i="20"/>
  <c r="K362" i="20"/>
  <c r="J435" i="21" l="1"/>
  <c r="K435" i="21" s="1"/>
  <c r="K436" i="20"/>
  <c r="J384" i="21"/>
  <c r="K384" i="21" s="1"/>
  <c r="K385" i="20"/>
  <c r="J320" i="21"/>
  <c r="K320" i="21" s="1"/>
  <c r="K321" i="20"/>
  <c r="J181" i="21"/>
  <c r="K181" i="21" s="1"/>
  <c r="L190" i="21"/>
  <c r="L185" i="20"/>
  <c r="K182" i="20"/>
  <c r="L27" i="21"/>
  <c r="L25" i="21"/>
  <c r="J437" i="21"/>
  <c r="K437" i="21" s="1"/>
  <c r="L438" i="20" a="1"/>
  <c r="L438" i="20" s="1"/>
  <c r="K438" i="20"/>
  <c r="J446" i="21"/>
  <c r="K446" i="21" s="1"/>
  <c r="L445" i="20"/>
  <c r="L447" i="20" s="1"/>
  <c r="J438" i="21"/>
  <c r="K438" i="21" s="1"/>
  <c r="L438" i="21"/>
  <c r="L440" i="21" s="1"/>
  <c r="J439" i="21"/>
  <c r="K439" i="21" s="1"/>
  <c r="L439" i="21"/>
  <c r="J440" i="21"/>
  <c r="K440" i="21" s="1"/>
  <c r="J441" i="21"/>
  <c r="K441" i="21" s="1"/>
  <c r="L441" i="21"/>
  <c r="J442" i="21"/>
  <c r="K442" i="21" s="1"/>
  <c r="L442" i="21"/>
  <c r="J443" i="21"/>
  <c r="K443" i="21" s="1"/>
  <c r="L443" i="21"/>
  <c r="J444" i="21"/>
  <c r="K444" i="21" s="1"/>
  <c r="L444" i="21"/>
  <c r="L318" i="21"/>
  <c r="L320" i="21" s="1"/>
  <c r="L268" i="21"/>
  <c r="L270" i="21" s="1"/>
  <c r="J272" i="21"/>
  <c r="K272" i="21" s="1"/>
  <c r="J273" i="21"/>
  <c r="K273" i="21" s="1"/>
  <c r="J215" i="21"/>
  <c r="K215" i="21" s="1"/>
  <c r="J216" i="21"/>
  <c r="K216" i="21" s="1"/>
  <c r="L201" i="21"/>
  <c r="J212" i="21"/>
  <c r="K212" i="21" s="1"/>
  <c r="J214" i="21"/>
  <c r="K214" i="21" s="1"/>
  <c r="J217" i="21"/>
  <c r="K217" i="21" s="1"/>
  <c r="J218" i="21"/>
  <c r="K218" i="21" s="1"/>
  <c r="J219" i="21"/>
  <c r="K219" i="21" s="1"/>
  <c r="J220" i="21"/>
  <c r="K220" i="21" s="1"/>
  <c r="J221" i="21"/>
  <c r="K221" i="21" s="1"/>
  <c r="J222" i="21"/>
  <c r="K222" i="21" s="1"/>
  <c r="J223" i="21"/>
  <c r="K223" i="21" s="1"/>
  <c r="J224" i="21"/>
  <c r="K224" i="21" s="1"/>
  <c r="J225" i="21"/>
  <c r="K225" i="21" s="1"/>
  <c r="J226" i="21"/>
  <c r="K226" i="21" s="1"/>
  <c r="J227" i="21"/>
  <c r="K227" i="21" s="1"/>
  <c r="J228" i="21"/>
  <c r="K228" i="21" s="1"/>
  <c r="J229" i="21"/>
  <c r="K229" i="21" s="1"/>
  <c r="J230" i="21"/>
  <c r="K230" i="21" s="1"/>
  <c r="J231" i="21"/>
  <c r="K231" i="21" s="1"/>
  <c r="J232" i="21"/>
  <c r="K232" i="21" s="1"/>
  <c r="J233" i="21"/>
  <c r="K233" i="21" s="1"/>
  <c r="J234" i="21"/>
  <c r="K234" i="21" s="1"/>
  <c r="J235" i="21"/>
  <c r="K235" i="21" s="1"/>
  <c r="J236" i="21"/>
  <c r="K236" i="21" s="1"/>
  <c r="J237" i="21"/>
  <c r="K237" i="21" s="1"/>
  <c r="J238" i="21"/>
  <c r="K238" i="21" s="1"/>
  <c r="J239" i="21"/>
  <c r="K239" i="21" s="1"/>
  <c r="J240" i="21"/>
  <c r="K240" i="21" s="1"/>
  <c r="J246" i="21"/>
  <c r="K246" i="21" s="1"/>
  <c r="J247" i="21"/>
  <c r="K247" i="21" s="1"/>
  <c r="J248" i="21"/>
  <c r="K248" i="21" s="1"/>
  <c r="J249" i="21"/>
  <c r="K249" i="21" s="1"/>
  <c r="J250" i="21"/>
  <c r="K250" i="21" s="1"/>
  <c r="J251" i="21"/>
  <c r="K251" i="21" s="1"/>
  <c r="J252" i="21"/>
  <c r="K252" i="21" s="1"/>
  <c r="J253" i="21"/>
  <c r="K253" i="21" s="1"/>
  <c r="J254" i="21"/>
  <c r="K254" i="21" s="1"/>
  <c r="J255" i="21"/>
  <c r="K255" i="21" s="1"/>
  <c r="J256" i="21"/>
  <c r="K256" i="21" s="1"/>
  <c r="J257" i="21"/>
  <c r="K257" i="21" s="1"/>
  <c r="J258" i="21"/>
  <c r="K258" i="21" s="1"/>
  <c r="J259" i="21"/>
  <c r="K259" i="21" s="1"/>
  <c r="J260" i="21"/>
  <c r="K260" i="21" s="1"/>
  <c r="J261" i="21"/>
  <c r="K261" i="21" s="1"/>
  <c r="J262" i="21"/>
  <c r="K262" i="21" s="1"/>
  <c r="J263" i="21"/>
  <c r="K263" i="21" s="1"/>
  <c r="J264" i="21"/>
  <c r="K264" i="21" s="1"/>
  <c r="J265" i="21"/>
  <c r="K265" i="21" s="1"/>
  <c r="J266" i="21"/>
  <c r="K266" i="21" s="1"/>
  <c r="J267" i="21"/>
  <c r="K267" i="21" s="1"/>
  <c r="L267" i="21"/>
  <c r="J268" i="21"/>
  <c r="K268" i="21" s="1"/>
  <c r="J269" i="21"/>
  <c r="K269" i="21" s="1"/>
  <c r="L269" i="21"/>
  <c r="J270" i="21"/>
  <c r="K270" i="21" s="1"/>
  <c r="J271" i="21"/>
  <c r="K271" i="21" s="1"/>
  <c r="L271" i="21"/>
  <c r="J274" i="21"/>
  <c r="K274" i="21" s="1"/>
  <c r="J275" i="21"/>
  <c r="K275" i="21" s="1"/>
  <c r="J276" i="21"/>
  <c r="K276" i="21" s="1"/>
  <c r="J277" i="21"/>
  <c r="K277" i="21" s="1"/>
  <c r="J278" i="21"/>
  <c r="K278" i="21" s="1"/>
  <c r="J279" i="21"/>
  <c r="K279" i="21" s="1"/>
  <c r="J280" i="21"/>
  <c r="K280" i="21" s="1"/>
  <c r="J281" i="21"/>
  <c r="K281" i="21" s="1"/>
  <c r="J282" i="21"/>
  <c r="K282" i="21" s="1"/>
  <c r="J283" i="21"/>
  <c r="K283" i="21" s="1"/>
  <c r="J284" i="21"/>
  <c r="K284" i="21" s="1"/>
  <c r="J285" i="21"/>
  <c r="K285" i="21" s="1"/>
  <c r="J286" i="21"/>
  <c r="K286" i="21" s="1"/>
  <c r="J287" i="21"/>
  <c r="K287" i="21" s="1"/>
  <c r="J288" i="21"/>
  <c r="K288" i="21" s="1"/>
  <c r="J289" i="21"/>
  <c r="K289" i="21" s="1"/>
  <c r="J290" i="21"/>
  <c r="K290" i="21" s="1"/>
  <c r="J291" i="21"/>
  <c r="K291" i="21" s="1"/>
  <c r="J292" i="21"/>
  <c r="K292" i="21" s="1"/>
  <c r="J293" i="21"/>
  <c r="K293" i="21" s="1"/>
  <c r="J294" i="21"/>
  <c r="K294" i="21" s="1"/>
  <c r="J295" i="21"/>
  <c r="K295" i="21" s="1"/>
  <c r="J296" i="21"/>
  <c r="K296" i="21" s="1"/>
  <c r="J297" i="21"/>
  <c r="K297" i="21" s="1"/>
  <c r="J298" i="21"/>
  <c r="K298" i="21" s="1"/>
  <c r="J299" i="21"/>
  <c r="K299" i="21" s="1"/>
  <c r="J300" i="21"/>
  <c r="K300" i="21" s="1"/>
  <c r="J301" i="21"/>
  <c r="K301" i="21" s="1"/>
  <c r="J302" i="21"/>
  <c r="K302" i="21" s="1"/>
  <c r="J303" i="21"/>
  <c r="K303" i="21" s="1"/>
  <c r="J304" i="21"/>
  <c r="K304" i="21" s="1"/>
  <c r="J305" i="21"/>
  <c r="K305" i="21" s="1"/>
  <c r="J306" i="21"/>
  <c r="K306" i="21" s="1"/>
  <c r="J307" i="21"/>
  <c r="K307" i="21" s="1"/>
  <c r="J308" i="21"/>
  <c r="K308" i="21" s="1"/>
  <c r="J309" i="21"/>
  <c r="K309" i="21" s="1"/>
  <c r="J310" i="21"/>
  <c r="K310" i="21" s="1"/>
  <c r="J311" i="21"/>
  <c r="K311" i="21" s="1"/>
  <c r="J312" i="21"/>
  <c r="K312" i="21" s="1"/>
  <c r="J313" i="21"/>
  <c r="K313" i="21" s="1"/>
  <c r="J314" i="21"/>
  <c r="K314" i="21" s="1"/>
  <c r="J315" i="21"/>
  <c r="K315" i="21" s="1"/>
  <c r="J316" i="21"/>
  <c r="K316" i="21" s="1"/>
  <c r="J317" i="21"/>
  <c r="K317" i="21" s="1"/>
  <c r="L317" i="21"/>
  <c r="L319" i="21" s="1"/>
  <c r="L321" i="21" s="1"/>
  <c r="L322" i="21" s="1"/>
  <c r="L323" i="21" s="1"/>
  <c r="L324" i="21" s="1"/>
  <c r="J318" i="21"/>
  <c r="K318" i="21" s="1"/>
  <c r="J319" i="21"/>
  <c r="K319" i="21" s="1"/>
  <c r="J321" i="21"/>
  <c r="K321" i="21" s="1"/>
  <c r="J322" i="21"/>
  <c r="K322" i="21" s="1"/>
  <c r="J323" i="21"/>
  <c r="K323" i="21" s="1"/>
  <c r="J324" i="21"/>
  <c r="K324" i="21" s="1"/>
  <c r="J325" i="21"/>
  <c r="K325" i="21" s="1"/>
  <c r="L325" i="21"/>
  <c r="L327" i="21" s="1"/>
  <c r="J326" i="21"/>
  <c r="K326" i="21" s="1"/>
  <c r="L326" i="21"/>
  <c r="J327" i="21"/>
  <c r="K327" i="21" s="1"/>
  <c r="J328" i="21"/>
  <c r="K328" i="21" s="1"/>
  <c r="L328" i="21"/>
  <c r="L330" i="21" s="1"/>
  <c r="L332" i="21" s="1"/>
  <c r="J329" i="21"/>
  <c r="K329" i="21" s="1"/>
  <c r="L329" i="21"/>
  <c r="J330" i="21"/>
  <c r="K330" i="21" s="1"/>
  <c r="J331" i="21"/>
  <c r="K331" i="21" s="1"/>
  <c r="L331" i="21"/>
  <c r="J332" i="21"/>
  <c r="K332" i="21" s="1"/>
  <c r="J333" i="21"/>
  <c r="K333" i="21" s="1"/>
  <c r="L333" i="21"/>
  <c r="L335" i="21" s="1"/>
  <c r="J334" i="21"/>
  <c r="K334" i="21" s="1"/>
  <c r="L334" i="21"/>
  <c r="J335" i="21"/>
  <c r="K335" i="21" s="1"/>
  <c r="J336" i="21"/>
  <c r="K336" i="21" s="1"/>
  <c r="L336" i="21"/>
  <c r="L338" i="21" s="1"/>
  <c r="L340" i="21" s="1"/>
  <c r="L342" i="21" s="1"/>
  <c r="L344" i="21" s="1"/>
  <c r="L346" i="21" s="1"/>
  <c r="L348" i="21" s="1"/>
  <c r="L350" i="21" s="1"/>
  <c r="J337" i="21"/>
  <c r="K337" i="21" s="1"/>
  <c r="L337" i="21"/>
  <c r="L339" i="21" s="1"/>
  <c r="L341" i="21" s="1"/>
  <c r="J338" i="21"/>
  <c r="K338" i="21" s="1"/>
  <c r="J339" i="21"/>
  <c r="K339" i="21" s="1"/>
  <c r="J340" i="21"/>
  <c r="K340" i="21" s="1"/>
  <c r="J341" i="21"/>
  <c r="K341" i="21" s="1"/>
  <c r="J342" i="21"/>
  <c r="K342" i="21" s="1"/>
  <c r="J343" i="21"/>
  <c r="K343" i="21" s="1"/>
  <c r="L343" i="21"/>
  <c r="L345" i="21" s="1"/>
  <c r="J344" i="21"/>
  <c r="K344" i="21" s="1"/>
  <c r="J345" i="21"/>
  <c r="K345" i="21" s="1"/>
  <c r="J346" i="21"/>
  <c r="K346" i="21" s="1"/>
  <c r="J347" i="21"/>
  <c r="K347" i="21" s="1"/>
  <c r="L347" i="21"/>
  <c r="L349" i="21" s="1"/>
  <c r="L351" i="21" s="1"/>
  <c r="L353" i="21" s="1"/>
  <c r="L355" i="21" s="1"/>
  <c r="L357" i="21" s="1"/>
  <c r="J348" i="21"/>
  <c r="K348" i="21" s="1"/>
  <c r="J349" i="21"/>
  <c r="K349" i="21" s="1"/>
  <c r="J350" i="21"/>
  <c r="K350" i="21" s="1"/>
  <c r="J351" i="21"/>
  <c r="K351" i="21" s="1"/>
  <c r="J352" i="21"/>
  <c r="K352" i="21" s="1"/>
  <c r="L352" i="21"/>
  <c r="J353" i="21"/>
  <c r="K353" i="21" s="1"/>
  <c r="J354" i="21"/>
  <c r="K354" i="21" s="1"/>
  <c r="L354" i="21"/>
  <c r="J355" i="21"/>
  <c r="K355" i="21" s="1"/>
  <c r="J356" i="21"/>
  <c r="K356" i="21" s="1"/>
  <c r="L356" i="21"/>
  <c r="L358" i="21" s="1"/>
  <c r="L360" i="21" s="1"/>
  <c r="J357" i="21"/>
  <c r="K357" i="21" s="1"/>
  <c r="J362" i="21"/>
  <c r="K362" i="21" s="1"/>
  <c r="L362" i="21"/>
  <c r="L364" i="21" s="1"/>
  <c r="J363" i="21"/>
  <c r="K363" i="21" s="1"/>
  <c r="J364" i="21"/>
  <c r="K364" i="21" s="1"/>
  <c r="J365" i="21"/>
  <c r="K365" i="21" s="1"/>
  <c r="J366" i="21"/>
  <c r="K366" i="21" s="1"/>
  <c r="L366" i="21"/>
  <c r="L368" i="21" s="1"/>
  <c r="L370" i="21" s="1"/>
  <c r="L372" i="21" s="1"/>
  <c r="L374" i="21" s="1"/>
  <c r="L376" i="21" s="1"/>
  <c r="L378" i="21" s="1"/>
  <c r="J367" i="21"/>
  <c r="K367" i="21" s="1"/>
  <c r="J368" i="21"/>
  <c r="K368" i="21" s="1"/>
  <c r="J369" i="21"/>
  <c r="K369" i="21" s="1"/>
  <c r="L369" i="21"/>
  <c r="J370" i="21"/>
  <c r="K370" i="21" s="1"/>
  <c r="J371" i="21"/>
  <c r="K371" i="21" s="1"/>
  <c r="L371" i="21"/>
  <c r="J372" i="21"/>
  <c r="K372" i="21" s="1"/>
  <c r="J373" i="21"/>
  <c r="K373" i="21" s="1"/>
  <c r="L373" i="21"/>
  <c r="J374" i="21"/>
  <c r="K374" i="21" s="1"/>
  <c r="J375" i="21"/>
  <c r="K375" i="21" s="1"/>
  <c r="L375" i="21"/>
  <c r="J376" i="21"/>
  <c r="K376" i="21" s="1"/>
  <c r="J377" i="21"/>
  <c r="K377" i="21" s="1"/>
  <c r="L377" i="21"/>
  <c r="L379" i="21" s="1"/>
  <c r="J378" i="21"/>
  <c r="K378" i="21" s="1"/>
  <c r="J379" i="21"/>
  <c r="K379" i="21" s="1"/>
  <c r="J380" i="21"/>
  <c r="K380" i="21" s="1"/>
  <c r="L380" i="21"/>
  <c r="L382" i="21" s="1"/>
  <c r="L384" i="21" s="1"/>
  <c r="J381" i="21"/>
  <c r="K381" i="21" s="1"/>
  <c r="L381" i="21"/>
  <c r="J382" i="21"/>
  <c r="K382" i="21" s="1"/>
  <c r="J383" i="21"/>
  <c r="K383" i="21" s="1"/>
  <c r="L383" i="21"/>
  <c r="L386" i="21" s="1"/>
  <c r="L388" i="21" s="1"/>
  <c r="J385" i="21"/>
  <c r="K385" i="21" s="1"/>
  <c r="L385" i="21"/>
  <c r="J386" i="21"/>
  <c r="K386" i="21" s="1"/>
  <c r="J387" i="21"/>
  <c r="K387" i="21" s="1"/>
  <c r="L387" i="21"/>
  <c r="L389" i="21" s="1"/>
  <c r="J388" i="21"/>
  <c r="K388" i="21" s="1"/>
  <c r="J389" i="21"/>
  <c r="K389" i="21" s="1"/>
  <c r="J390" i="21"/>
  <c r="K390" i="21" s="1"/>
  <c r="L390" i="21"/>
  <c r="J391" i="21"/>
  <c r="K391" i="21" s="1"/>
  <c r="L391" i="21"/>
  <c r="L393" i="21" s="1"/>
  <c r="L395" i="21" s="1"/>
  <c r="L397" i="21" s="1"/>
  <c r="L399" i="21" s="1"/>
  <c r="L401" i="21" s="1"/>
  <c r="L403" i="21" s="1"/>
  <c r="L405" i="21" s="1"/>
  <c r="L407" i="21" s="1"/>
  <c r="L409" i="21" s="1"/>
  <c r="J392" i="21"/>
  <c r="K392" i="21" s="1"/>
  <c r="L392" i="21"/>
  <c r="J393" i="21"/>
  <c r="K393" i="21" s="1"/>
  <c r="J394" i="21"/>
  <c r="K394" i="21" s="1"/>
  <c r="L394" i="21"/>
  <c r="J395" i="21"/>
  <c r="K395" i="21" s="1"/>
  <c r="J396" i="21"/>
  <c r="K396" i="21" s="1"/>
  <c r="L396" i="21"/>
  <c r="J397" i="21"/>
  <c r="K397" i="21" s="1"/>
  <c r="J398" i="21"/>
  <c r="K398" i="21" s="1"/>
  <c r="L398" i="21"/>
  <c r="J399" i="21"/>
  <c r="K399" i="21" s="1"/>
  <c r="J400" i="21"/>
  <c r="K400" i="21" s="1"/>
  <c r="L400" i="21"/>
  <c r="J401" i="21"/>
  <c r="K401" i="21" s="1"/>
  <c r="J402" i="21"/>
  <c r="K402" i="21" s="1"/>
  <c r="L402" i="21"/>
  <c r="L404" i="21" s="1"/>
  <c r="J403" i="21"/>
  <c r="K403" i="21" s="1"/>
  <c r="J404" i="21"/>
  <c r="K404" i="21" s="1"/>
  <c r="J405" i="21"/>
  <c r="K405" i="21" s="1"/>
  <c r="J406" i="21"/>
  <c r="K406" i="21" s="1"/>
  <c r="L406" i="21"/>
  <c r="J407" i="21"/>
  <c r="K407" i="21" s="1"/>
  <c r="J408" i="21"/>
  <c r="K408" i="21" s="1"/>
  <c r="L408" i="21"/>
  <c r="J409" i="21"/>
  <c r="K409" i="21" s="1"/>
  <c r="J410" i="21"/>
  <c r="K410" i="21" s="1"/>
  <c r="L410" i="21"/>
  <c r="L412" i="21" s="1"/>
  <c r="L414" i="21" s="1"/>
  <c r="J411" i="21"/>
  <c r="K411" i="21" s="1"/>
  <c r="L411" i="21"/>
  <c r="L413" i="21" s="1"/>
  <c r="J412" i="21"/>
  <c r="K412" i="21" s="1"/>
  <c r="J413" i="21"/>
  <c r="K413" i="21" s="1"/>
  <c r="J414" i="21"/>
  <c r="K414" i="21" s="1"/>
  <c r="J415" i="21"/>
  <c r="K415" i="21" s="1"/>
  <c r="L415" i="21"/>
  <c r="L417" i="21" s="1"/>
  <c r="J416" i="21"/>
  <c r="K416" i="21" s="1"/>
  <c r="L416" i="21"/>
  <c r="J417" i="21"/>
  <c r="K417" i="21" s="1"/>
  <c r="J418" i="21"/>
  <c r="K418" i="21" s="1"/>
  <c r="L418" i="21"/>
  <c r="J419" i="21"/>
  <c r="K419" i="21" s="1"/>
  <c r="L419" i="21"/>
  <c r="L421" i="21" s="1"/>
  <c r="L423" i="21" s="1"/>
  <c r="J420" i="21"/>
  <c r="K420" i="21" s="1"/>
  <c r="L420" i="21"/>
  <c r="J421" i="21"/>
  <c r="K421" i="21" s="1"/>
  <c r="J422" i="21"/>
  <c r="K422" i="21" s="1"/>
  <c r="L422" i="21"/>
  <c r="L424" i="21" s="1"/>
  <c r="L426" i="21" s="1"/>
  <c r="J423" i="21"/>
  <c r="K423" i="21" s="1"/>
  <c r="J424" i="21"/>
  <c r="K424" i="21" s="1"/>
  <c r="J425" i="21"/>
  <c r="K425" i="21" s="1"/>
  <c r="L425" i="21"/>
  <c r="L427" i="21" s="1"/>
  <c r="L429" i="21" s="1"/>
  <c r="L431" i="21" s="1"/>
  <c r="J426" i="21"/>
  <c r="K426" i="21" s="1"/>
  <c r="J427" i="21"/>
  <c r="K427" i="21" s="1"/>
  <c r="J428" i="21"/>
  <c r="K428" i="21" s="1"/>
  <c r="L428" i="21"/>
  <c r="J429" i="21"/>
  <c r="K429" i="21" s="1"/>
  <c r="J430" i="21"/>
  <c r="K430" i="21" s="1"/>
  <c r="L430" i="21"/>
  <c r="J431" i="21"/>
  <c r="K431" i="21" s="1"/>
  <c r="J432" i="21"/>
  <c r="K432" i="21" s="1"/>
  <c r="L432" i="21"/>
  <c r="J433" i="21"/>
  <c r="K433" i="21" s="1"/>
  <c r="L433" i="21"/>
  <c r="L435" i="21" s="1"/>
  <c r="J434" i="21"/>
  <c r="K434" i="21" s="1"/>
  <c r="L434" i="21"/>
  <c r="L437" i="21" s="1"/>
  <c r="J436" i="21"/>
  <c r="K436" i="21" s="1"/>
  <c r="L436" i="21"/>
  <c r="K442" i="20"/>
  <c r="L442" i="20"/>
  <c r="L426" i="20"/>
  <c r="L427" i="20" s="1"/>
  <c r="L428" i="20" s="1"/>
  <c r="K428" i="20"/>
  <c r="K427" i="20"/>
  <c r="K426" i="20"/>
  <c r="L425" i="20"/>
  <c r="K425" i="20"/>
  <c r="L424" i="20"/>
  <c r="K424" i="20"/>
  <c r="L423" i="20"/>
  <c r="K423" i="20"/>
  <c r="K318" i="20"/>
  <c r="L318" i="20"/>
  <c r="L319" i="20" s="1"/>
  <c r="L320" i="20" s="1"/>
  <c r="L322" i="20" s="1"/>
  <c r="L323" i="20" s="1"/>
  <c r="L324" i="20" s="1"/>
  <c r="L325" i="20" s="1"/>
  <c r="K319" i="20"/>
  <c r="K320" i="20"/>
  <c r="K322" i="20"/>
  <c r="K323" i="20"/>
  <c r="K324" i="20"/>
  <c r="K325" i="20"/>
  <c r="J102" i="21"/>
  <c r="K102" i="21" s="1"/>
  <c r="J103" i="21"/>
  <c r="K103" i="21" s="1"/>
  <c r="J104" i="21"/>
  <c r="K104" i="21" s="1"/>
  <c r="J105" i="21"/>
  <c r="K105" i="21" s="1"/>
  <c r="L87" i="21"/>
  <c r="L100" i="21" s="1"/>
  <c r="L90" i="21"/>
  <c r="L107" i="21" s="1"/>
  <c r="L106" i="20"/>
  <c r="K103" i="20"/>
  <c r="L95" i="20"/>
  <c r="L103" i="20" s="1"/>
  <c r="K104" i="20"/>
  <c r="L94" i="20"/>
  <c r="L96" i="20" s="1"/>
  <c r="K105" i="20"/>
  <c r="K106" i="20"/>
  <c r="J7" i="21"/>
  <c r="K7" i="21" s="1"/>
  <c r="L7" i="21"/>
  <c r="J8" i="21"/>
  <c r="K8" i="21" s="1"/>
  <c r="L8" i="21"/>
  <c r="J9" i="21"/>
  <c r="K9" i="21" s="1"/>
  <c r="L9" i="21"/>
  <c r="J10" i="21"/>
  <c r="K10" i="21" s="1"/>
  <c r="L10" i="21"/>
  <c r="J11" i="21"/>
  <c r="K11" i="21" s="1"/>
  <c r="L11" i="21"/>
  <c r="J12" i="21"/>
  <c r="K12" i="21" s="1"/>
  <c r="L12" i="21"/>
  <c r="L26" i="21" s="1"/>
  <c r="J13" i="21"/>
  <c r="K13" i="21" s="1"/>
  <c r="L13" i="21"/>
  <c r="J14" i="21"/>
  <c r="K14" i="21" s="1"/>
  <c r="L14" i="21"/>
  <c r="L28" i="21" s="1"/>
  <c r="J15" i="21"/>
  <c r="K15" i="21" s="1"/>
  <c r="L15" i="21"/>
  <c r="J16" i="21"/>
  <c r="K16" i="21" s="1"/>
  <c r="L16" i="21"/>
  <c r="J17" i="21"/>
  <c r="K17" i="21" s="1"/>
  <c r="L17" i="21"/>
  <c r="J18" i="21"/>
  <c r="K18" i="21" s="1"/>
  <c r="L18" i="21"/>
  <c r="J19" i="21"/>
  <c r="K19" i="21" s="1"/>
  <c r="L19" i="21"/>
  <c r="J20" i="21"/>
  <c r="K20" i="21" s="1"/>
  <c r="L20" i="21"/>
  <c r="J21" i="21"/>
  <c r="K21" i="21" s="1"/>
  <c r="L21" i="21"/>
  <c r="J22" i="21"/>
  <c r="K22" i="21" s="1"/>
  <c r="L22" i="21"/>
  <c r="J23" i="21"/>
  <c r="K23" i="21" s="1"/>
  <c r="L23" i="21"/>
  <c r="J6" i="21"/>
  <c r="K6" i="21" s="1"/>
  <c r="K17" i="20"/>
  <c r="L17" i="20"/>
  <c r="K18" i="20"/>
  <c r="L18" i="20"/>
  <c r="K19" i="20"/>
  <c r="L19" i="20"/>
  <c r="K20" i="20"/>
  <c r="L20" i="20"/>
  <c r="K21" i="20"/>
  <c r="L21" i="20"/>
  <c r="K22" i="20"/>
  <c r="L22" i="20"/>
  <c r="K23" i="20"/>
  <c r="L23" i="20"/>
  <c r="K24" i="20"/>
  <c r="L24" i="20"/>
  <c r="K10" i="20"/>
  <c r="L10" i="20"/>
  <c r="K11" i="20"/>
  <c r="L11" i="20"/>
  <c r="K7" i="20"/>
  <c r="L7" i="20"/>
  <c r="K8" i="20"/>
  <c r="L8" i="20"/>
  <c r="J173" i="21"/>
  <c r="K173" i="21" s="1"/>
  <c r="L173" i="21"/>
  <c r="J174" i="21"/>
  <c r="K174" i="21" s="1"/>
  <c r="J175" i="21"/>
  <c r="K175" i="21" s="1"/>
  <c r="L175" i="21"/>
  <c r="J176" i="21"/>
  <c r="K176" i="21" s="1"/>
  <c r="J177" i="21"/>
  <c r="K177" i="21" s="1"/>
  <c r="L177" i="21"/>
  <c r="J178" i="21"/>
  <c r="K178" i="21" s="1"/>
  <c r="J179" i="21"/>
  <c r="K179" i="21" s="1"/>
  <c r="L179" i="21"/>
  <c r="J180" i="21"/>
  <c r="K180" i="21" s="1"/>
  <c r="L180" i="21"/>
  <c r="J182" i="21"/>
  <c r="K182" i="21" s="1"/>
  <c r="L182" i="21"/>
  <c r="J183" i="21"/>
  <c r="K183" i="21" s="1"/>
  <c r="L183" i="21"/>
  <c r="J184" i="21"/>
  <c r="K184" i="21" s="1"/>
  <c r="J185" i="21"/>
  <c r="K185" i="21" s="1"/>
  <c r="L185" i="21"/>
  <c r="L196" i="21" s="1"/>
  <c r="J186" i="21"/>
  <c r="K186" i="21" s="1"/>
  <c r="J187" i="21"/>
  <c r="K187" i="21" s="1"/>
  <c r="L187" i="21"/>
  <c r="J188" i="21"/>
  <c r="K188" i="21" s="1"/>
  <c r="J189" i="21"/>
  <c r="K189" i="21" s="1"/>
  <c r="L189" i="21"/>
  <c r="J190" i="21"/>
  <c r="K190" i="21" s="1"/>
  <c r="J191" i="21"/>
  <c r="K191" i="21" s="1"/>
  <c r="L191" i="21"/>
  <c r="J192" i="21"/>
  <c r="K192" i="21" s="1"/>
  <c r="L192" i="21"/>
  <c r="J193" i="21"/>
  <c r="K193" i="21" s="1"/>
  <c r="L193" i="21"/>
  <c r="J194" i="21"/>
  <c r="K194" i="21" s="1"/>
  <c r="L194" i="21"/>
  <c r="J195" i="21"/>
  <c r="K195" i="21" s="1"/>
  <c r="L195" i="21"/>
  <c r="J196" i="21"/>
  <c r="K196" i="21" s="1"/>
  <c r="J197" i="21"/>
  <c r="K197" i="21" s="1"/>
  <c r="L197" i="21"/>
  <c r="J198" i="21"/>
  <c r="K198" i="21" s="1"/>
  <c r="L198" i="21"/>
  <c r="J199" i="21"/>
  <c r="K199" i="21" s="1"/>
  <c r="L199" i="21"/>
  <c r="J200" i="21"/>
  <c r="K200" i="21" s="1"/>
  <c r="L200" i="21"/>
  <c r="J201" i="21"/>
  <c r="K201" i="21" s="1"/>
  <c r="J202" i="21"/>
  <c r="K202" i="21" s="1"/>
  <c r="L202" i="21"/>
  <c r="J203" i="21"/>
  <c r="K203" i="21" s="1"/>
  <c r="L203" i="21"/>
  <c r="J204" i="21"/>
  <c r="K204" i="21" s="1"/>
  <c r="L204" i="21"/>
  <c r="J205" i="21"/>
  <c r="K205" i="21" s="1"/>
  <c r="L205" i="21"/>
  <c r="J206" i="21"/>
  <c r="K206" i="21" s="1"/>
  <c r="L206" i="21"/>
  <c r="J207" i="21"/>
  <c r="K207" i="21" s="1"/>
  <c r="L207" i="21"/>
  <c r="J208" i="21"/>
  <c r="K208" i="21" s="1"/>
  <c r="L208" i="21"/>
  <c r="J209" i="21"/>
  <c r="K209" i="21" s="1"/>
  <c r="L209" i="21"/>
  <c r="J210" i="21"/>
  <c r="K210" i="21" s="1"/>
  <c r="J211" i="21"/>
  <c r="K211" i="21" s="1"/>
  <c r="L211" i="21"/>
  <c r="J172" i="21"/>
  <c r="K172" i="21" s="1"/>
  <c r="L172" i="21"/>
  <c r="K197" i="20"/>
  <c r="K196" i="20"/>
  <c r="L196" i="20"/>
  <c r="K188" i="20"/>
  <c r="L188" i="20"/>
  <c r="K189" i="20"/>
  <c r="K190" i="20"/>
  <c r="L190" i="20"/>
  <c r="K191" i="20"/>
  <c r="L114" i="21"/>
  <c r="J99" i="21"/>
  <c r="K99" i="21" s="1"/>
  <c r="J100" i="21"/>
  <c r="K100" i="21" s="1"/>
  <c r="J101" i="21"/>
  <c r="K101" i="21" s="1"/>
  <c r="J106" i="21"/>
  <c r="K106" i="21" s="1"/>
  <c r="L106" i="21"/>
  <c r="J107" i="21"/>
  <c r="K107" i="21" s="1"/>
  <c r="J108" i="21"/>
  <c r="K108" i="21" s="1"/>
  <c r="L108" i="21"/>
  <c r="J109" i="21"/>
  <c r="K109" i="21" s="1"/>
  <c r="J110" i="21"/>
  <c r="K110" i="21" s="1"/>
  <c r="J111" i="21"/>
  <c r="K111" i="21" s="1"/>
  <c r="L111" i="21"/>
  <c r="J112" i="21"/>
  <c r="K112" i="21" s="1"/>
  <c r="J113" i="21"/>
  <c r="K113" i="21" s="1"/>
  <c r="L113" i="21"/>
  <c r="J114" i="21"/>
  <c r="K114" i="21" s="1"/>
  <c r="J115" i="21"/>
  <c r="K115" i="21" s="1"/>
  <c r="L115" i="21"/>
  <c r="J116" i="21"/>
  <c r="K116" i="21" s="1"/>
  <c r="J117" i="21"/>
  <c r="K117" i="21" s="1"/>
  <c r="L117" i="21"/>
  <c r="J118" i="21"/>
  <c r="K118" i="21" s="1"/>
  <c r="L118" i="21"/>
  <c r="J119" i="21"/>
  <c r="K119" i="21" s="1"/>
  <c r="L119" i="21"/>
  <c r="J120" i="21"/>
  <c r="K120" i="21" s="1"/>
  <c r="L120" i="21"/>
  <c r="J121" i="21"/>
  <c r="K121" i="21" s="1"/>
  <c r="L121" i="21"/>
  <c r="J122" i="21"/>
  <c r="K122" i="21" s="1"/>
  <c r="L122" i="21"/>
  <c r="J123" i="21"/>
  <c r="K123" i="21" s="1"/>
  <c r="L123" i="21"/>
  <c r="J124" i="21"/>
  <c r="K124" i="21" s="1"/>
  <c r="L124" i="21"/>
  <c r="J125" i="21"/>
  <c r="K125" i="21" s="1"/>
  <c r="L125" i="21"/>
  <c r="J126" i="21"/>
  <c r="K126" i="21" s="1"/>
  <c r="L126" i="21"/>
  <c r="J127" i="21"/>
  <c r="K127" i="21" s="1"/>
  <c r="L127" i="21"/>
  <c r="J128" i="21"/>
  <c r="K128" i="21" s="1"/>
  <c r="L128" i="21"/>
  <c r="J129" i="21"/>
  <c r="K129" i="21" s="1"/>
  <c r="L129" i="21"/>
  <c r="J130" i="21"/>
  <c r="K130" i="21" s="1"/>
  <c r="L130" i="21"/>
  <c r="J131" i="21"/>
  <c r="K131" i="21" s="1"/>
  <c r="L131" i="21"/>
  <c r="J132" i="21"/>
  <c r="K132" i="21" s="1"/>
  <c r="L132" i="21"/>
  <c r="J133" i="21"/>
  <c r="K133" i="21" s="1"/>
  <c r="L133" i="21"/>
  <c r="J98" i="21"/>
  <c r="K98" i="21" s="1"/>
  <c r="L98" i="21"/>
  <c r="K131" i="20"/>
  <c r="L131" i="20"/>
  <c r="K120" i="20"/>
  <c r="L120" i="20"/>
  <c r="K99" i="20"/>
  <c r="L99" i="20"/>
  <c r="K100" i="20"/>
  <c r="K101" i="20"/>
  <c r="K102" i="20"/>
  <c r="K107" i="20"/>
  <c r="L107" i="20"/>
  <c r="K108" i="20"/>
  <c r="J26" i="21"/>
  <c r="J27" i="21"/>
  <c r="K27" i="21" s="1"/>
  <c r="J28" i="21"/>
  <c r="K28" i="21" s="1"/>
  <c r="J29" i="21"/>
  <c r="K29" i="21" s="1"/>
  <c r="L29" i="21"/>
  <c r="L31" i="21" s="1"/>
  <c r="L33" i="21" s="1"/>
  <c r="J30" i="21"/>
  <c r="K30" i="21" s="1"/>
  <c r="J31" i="21"/>
  <c r="K31" i="21" s="1"/>
  <c r="J32" i="21"/>
  <c r="K32" i="21" s="1"/>
  <c r="L32" i="21"/>
  <c r="L34" i="21" s="1"/>
  <c r="L36" i="21" s="1"/>
  <c r="J33" i="21"/>
  <c r="K33" i="21" s="1"/>
  <c r="J34" i="21"/>
  <c r="K34" i="21" s="1"/>
  <c r="J35" i="21"/>
  <c r="K35" i="21" s="1"/>
  <c r="L35" i="21"/>
  <c r="L37" i="21" s="1"/>
  <c r="L39" i="21" s="1"/>
  <c r="J36" i="21"/>
  <c r="K36" i="21" s="1"/>
  <c r="J37" i="21"/>
  <c r="K37" i="21" s="1"/>
  <c r="J38" i="21"/>
  <c r="K38" i="21" s="1"/>
  <c r="L38" i="21"/>
  <c r="L40" i="21" s="1"/>
  <c r="L42" i="21" s="1"/>
  <c r="J39" i="21"/>
  <c r="K39" i="21" s="1"/>
  <c r="J40" i="21"/>
  <c r="K40" i="21" s="1"/>
  <c r="J41" i="21"/>
  <c r="K41" i="21" s="1"/>
  <c r="L41" i="21"/>
  <c r="L43" i="21" s="1"/>
  <c r="L45" i="21" s="1"/>
  <c r="J42" i="21"/>
  <c r="K42" i="21" s="1"/>
  <c r="J43" i="21"/>
  <c r="K43" i="21" s="1"/>
  <c r="J44" i="21"/>
  <c r="K44" i="21" s="1"/>
  <c r="L44" i="21"/>
  <c r="L46" i="21" s="1"/>
  <c r="L48" i="21" s="1"/>
  <c r="J45" i="21"/>
  <c r="K45" i="21" s="1"/>
  <c r="J46" i="21"/>
  <c r="K46" i="21" s="1"/>
  <c r="J47" i="21"/>
  <c r="K47" i="21" s="1"/>
  <c r="L47" i="21"/>
  <c r="L49" i="21" s="1"/>
  <c r="L51" i="21" s="1"/>
  <c r="J48" i="21"/>
  <c r="K48" i="21" s="1"/>
  <c r="J49" i="21"/>
  <c r="K49" i="21" s="1"/>
  <c r="J50" i="21"/>
  <c r="K50" i="21" s="1"/>
  <c r="L50" i="21"/>
  <c r="L52" i="21" s="1"/>
  <c r="L54" i="21" s="1"/>
  <c r="J51" i="21"/>
  <c r="K51" i="21" s="1"/>
  <c r="J52" i="21"/>
  <c r="K52" i="21" s="1"/>
  <c r="J53" i="21"/>
  <c r="K53" i="21" s="1"/>
  <c r="L53" i="21"/>
  <c r="L55" i="21" s="1"/>
  <c r="L57" i="21" s="1"/>
  <c r="J54" i="21"/>
  <c r="K54" i="21" s="1"/>
  <c r="J55" i="21"/>
  <c r="K55" i="21" s="1"/>
  <c r="J56" i="21"/>
  <c r="K56" i="21" s="1"/>
  <c r="L56" i="21"/>
  <c r="L58" i="21" s="1"/>
  <c r="L60" i="21" s="1"/>
  <c r="J57" i="21"/>
  <c r="K57" i="21" s="1"/>
  <c r="J58" i="21"/>
  <c r="K58" i="21" s="1"/>
  <c r="J59" i="21"/>
  <c r="K59" i="21" s="1"/>
  <c r="L59" i="21"/>
  <c r="L61" i="21" s="1"/>
  <c r="L63" i="21" s="1"/>
  <c r="J60" i="21"/>
  <c r="K60" i="21" s="1"/>
  <c r="J61" i="21"/>
  <c r="K61" i="21" s="1"/>
  <c r="J62" i="21"/>
  <c r="K62" i="21" s="1"/>
  <c r="L62" i="21"/>
  <c r="L64" i="21" s="1"/>
  <c r="L66" i="21" s="1"/>
  <c r="J63" i="21"/>
  <c r="K63" i="21" s="1"/>
  <c r="J64" i="21"/>
  <c r="K64" i="21" s="1"/>
  <c r="J65" i="21"/>
  <c r="K65" i="21" s="1"/>
  <c r="L65" i="21"/>
  <c r="L67" i="21" s="1"/>
  <c r="L69" i="21" s="1"/>
  <c r="J66" i="21"/>
  <c r="K66" i="21" s="1"/>
  <c r="J67" i="21"/>
  <c r="K67" i="21" s="1"/>
  <c r="J68" i="21"/>
  <c r="K68" i="21" s="1"/>
  <c r="L68" i="21"/>
  <c r="L70" i="21" s="1"/>
  <c r="L72" i="21" s="1"/>
  <c r="J69" i="21"/>
  <c r="K69" i="21" s="1"/>
  <c r="J70" i="21"/>
  <c r="K70" i="21" s="1"/>
  <c r="J71" i="21"/>
  <c r="K71" i="21" s="1"/>
  <c r="L71" i="21"/>
  <c r="J72" i="21"/>
  <c r="K72" i="21" s="1"/>
  <c r="J73" i="21"/>
  <c r="K73" i="21" s="1"/>
  <c r="L73" i="21"/>
  <c r="J74" i="21"/>
  <c r="K74" i="21" s="1"/>
  <c r="L74" i="21"/>
  <c r="L76" i="21" s="1"/>
  <c r="J75" i="21"/>
  <c r="K75" i="21" s="1"/>
  <c r="L75" i="21"/>
  <c r="J76" i="21"/>
  <c r="K76" i="21" s="1"/>
  <c r="J77" i="21"/>
  <c r="K77" i="21" s="1"/>
  <c r="L77" i="21"/>
  <c r="J78" i="21"/>
  <c r="K78" i="21" s="1"/>
  <c r="L78" i="21"/>
  <c r="J79" i="21"/>
  <c r="K79" i="21" s="1"/>
  <c r="L79" i="21"/>
  <c r="J80" i="21"/>
  <c r="K80" i="21" s="1"/>
  <c r="L80" i="21"/>
  <c r="J81" i="21"/>
  <c r="K81" i="21" s="1"/>
  <c r="L81" i="21"/>
  <c r="J82" i="21"/>
  <c r="K82" i="21" s="1"/>
  <c r="L82" i="21"/>
  <c r="J25" i="21"/>
  <c r="K25" i="21" s="1"/>
  <c r="K76" i="20"/>
  <c r="L76" i="20"/>
  <c r="K77" i="20"/>
  <c r="K26" i="20"/>
  <c r="L26" i="20"/>
  <c r="K27" i="20"/>
  <c r="K28" i="20"/>
  <c r="L28" i="20"/>
  <c r="K29" i="20"/>
  <c r="K13" i="20"/>
  <c r="K16" i="20"/>
  <c r="K9" i="20"/>
  <c r="L9" i="20"/>
  <c r="K14" i="20"/>
  <c r="L14" i="20"/>
  <c r="K15" i="20"/>
  <c r="L15" i="20"/>
  <c r="K12" i="20"/>
  <c r="L12" i="20"/>
  <c r="L27" i="20" s="1"/>
  <c r="L13" i="20"/>
  <c r="L16" i="20"/>
  <c r="L29" i="20" s="1"/>
  <c r="L154" i="21"/>
  <c r="L155" i="21" s="1"/>
  <c r="L157" i="21" s="1"/>
  <c r="L159" i="21" s="1"/>
  <c r="L161" i="21" s="1"/>
  <c r="L163" i="21" s="1"/>
  <c r="L165" i="21" s="1"/>
  <c r="L176" i="21" s="1"/>
  <c r="L186" i="21" s="1"/>
  <c r="J84" i="21"/>
  <c r="K84" i="21" s="1"/>
  <c r="J85" i="21"/>
  <c r="K85" i="21" s="1"/>
  <c r="J86" i="21"/>
  <c r="K86" i="21" s="1"/>
  <c r="J87" i="21"/>
  <c r="K87" i="21" s="1"/>
  <c r="J88" i="21"/>
  <c r="K88" i="21" s="1"/>
  <c r="J89" i="21"/>
  <c r="K89" i="21" s="1"/>
  <c r="J90" i="21"/>
  <c r="K90" i="21" s="1"/>
  <c r="J91" i="21"/>
  <c r="K91" i="21" s="1"/>
  <c r="J92" i="21"/>
  <c r="K92" i="21" s="1"/>
  <c r="J93" i="21"/>
  <c r="K93" i="21" s="1"/>
  <c r="J94" i="21"/>
  <c r="K94" i="21" s="1"/>
  <c r="J95" i="21"/>
  <c r="K95" i="21" s="1"/>
  <c r="J96" i="21"/>
  <c r="K96" i="21" s="1"/>
  <c r="L136" i="21"/>
  <c r="L138" i="21"/>
  <c r="J135" i="21"/>
  <c r="K135" i="21" s="1"/>
  <c r="J136" i="21"/>
  <c r="K136" i="21" s="1"/>
  <c r="J137" i="21"/>
  <c r="K137" i="21" s="1"/>
  <c r="J138" i="21"/>
  <c r="K138" i="21" s="1"/>
  <c r="J139" i="21"/>
  <c r="K139" i="21" s="1"/>
  <c r="J140" i="21"/>
  <c r="K140" i="21" s="1"/>
  <c r="L140" i="21"/>
  <c r="J141" i="21"/>
  <c r="K141" i="21" s="1"/>
  <c r="J143" i="21"/>
  <c r="K143" i="21" s="1"/>
  <c r="J144" i="21"/>
  <c r="K144" i="21" s="1"/>
  <c r="J145" i="21"/>
  <c r="K145" i="21" s="1"/>
  <c r="J146" i="21"/>
  <c r="K146" i="21" s="1"/>
  <c r="J147" i="21"/>
  <c r="K147" i="21" s="1"/>
  <c r="J148" i="21"/>
  <c r="K148" i="21" s="1"/>
  <c r="J149" i="21"/>
  <c r="K149" i="21" s="1"/>
  <c r="J150" i="21"/>
  <c r="K150" i="21" s="1"/>
  <c r="J151" i="21"/>
  <c r="K151" i="21" s="1"/>
  <c r="J152" i="21"/>
  <c r="K152" i="21" s="1"/>
  <c r="J154" i="21"/>
  <c r="K154" i="21" s="1"/>
  <c r="J155" i="21"/>
  <c r="K155" i="21" s="1"/>
  <c r="J156" i="21"/>
  <c r="K156" i="21" s="1"/>
  <c r="J157" i="21"/>
  <c r="K157" i="21" s="1"/>
  <c r="J158" i="21"/>
  <c r="K158" i="21" s="1"/>
  <c r="J159" i="21"/>
  <c r="K159" i="21" s="1"/>
  <c r="J160" i="21"/>
  <c r="K160" i="21" s="1"/>
  <c r="J161" i="21"/>
  <c r="K161" i="21" s="1"/>
  <c r="J162" i="21"/>
  <c r="K162" i="21" s="1"/>
  <c r="J163" i="21"/>
  <c r="K163" i="21" s="1"/>
  <c r="J164" i="21"/>
  <c r="K164" i="21" s="1"/>
  <c r="J165" i="21"/>
  <c r="K165" i="21" s="1"/>
  <c r="J166" i="21"/>
  <c r="K166" i="21" s="1"/>
  <c r="J167" i="21"/>
  <c r="K167" i="21" s="1"/>
  <c r="J168" i="21"/>
  <c r="K168" i="21" s="1"/>
  <c r="J169" i="21"/>
  <c r="K169" i="21" s="1"/>
  <c r="J170" i="21"/>
  <c r="K170" i="21" s="1"/>
  <c r="L6" i="21"/>
  <c r="L386" i="20"/>
  <c r="L387" i="20" s="1"/>
  <c r="L388" i="20"/>
  <c r="L389" i="20" s="1"/>
  <c r="L390" i="20" s="1"/>
  <c r="L391" i="20"/>
  <c r="L392" i="20"/>
  <c r="L393" i="20"/>
  <c r="L394" i="20" s="1"/>
  <c r="L395" i="20"/>
  <c r="L396" i="20" s="1"/>
  <c r="L397" i="20"/>
  <c r="L398" i="20" s="1"/>
  <c r="L399" i="20"/>
  <c r="L400" i="20" s="1"/>
  <c r="L401" i="20"/>
  <c r="L402" i="20" s="1"/>
  <c r="L407" i="20"/>
  <c r="L408" i="20" s="1"/>
  <c r="L403" i="20"/>
  <c r="L404" i="20" s="1"/>
  <c r="L405" i="20" s="1"/>
  <c r="L406" i="20" s="1"/>
  <c r="L376" i="20"/>
  <c r="L377" i="20" s="1"/>
  <c r="L348" i="20"/>
  <c r="L349" i="20" s="1"/>
  <c r="L350" i="20" s="1"/>
  <c r="L351" i="20" s="1"/>
  <c r="L352" i="20" s="1"/>
  <c r="L353" i="20"/>
  <c r="L354" i="20" s="1"/>
  <c r="L280" i="20" s="1"/>
  <c r="L281" i="20" s="1"/>
  <c r="L282" i="20" s="1"/>
  <c r="L283" i="20" s="1"/>
  <c r="L284" i="20" s="1"/>
  <c r="L285" i="20" s="1"/>
  <c r="L286" i="20" s="1"/>
  <c r="L287" i="20" s="1"/>
  <c r="L288" i="20" s="1"/>
  <c r="L289" i="20" s="1"/>
  <c r="L290" i="20" s="1"/>
  <c r="L291" i="20" s="1"/>
  <c r="L292" i="20" s="1"/>
  <c r="L293" i="20" s="1"/>
  <c r="L294" i="20" s="1"/>
  <c r="L295" i="20" s="1"/>
  <c r="L296" i="20" s="1"/>
  <c r="L297" i="20" s="1"/>
  <c r="L298" i="20" s="1"/>
  <c r="L299" i="20" s="1"/>
  <c r="L300" i="20" s="1"/>
  <c r="L301" i="20" s="1"/>
  <c r="L302" i="20" s="1"/>
  <c r="L303" i="20" s="1"/>
  <c r="L308" i="20" s="1"/>
  <c r="L309" i="20" s="1"/>
  <c r="L310" i="20" s="1"/>
  <c r="L311" i="20" s="1"/>
  <c r="L312" i="20" s="1"/>
  <c r="L313" i="20" s="1"/>
  <c r="L314" i="20" s="1"/>
  <c r="L315" i="20" s="1"/>
  <c r="L316" i="20" s="1"/>
  <c r="L317" i="20" s="1"/>
  <c r="L304" i="20" s="1"/>
  <c r="L305" i="20" s="1"/>
  <c r="L306" i="20" s="1"/>
  <c r="L307" i="20" s="1"/>
  <c r="L326" i="20"/>
  <c r="L357" i="20"/>
  <c r="L358" i="20" s="1"/>
  <c r="L359" i="20" s="1"/>
  <c r="L360" i="20" s="1"/>
  <c r="L361" i="20" s="1"/>
  <c r="L362" i="20" s="1"/>
  <c r="L363" i="20"/>
  <c r="L364" i="20" s="1"/>
  <c r="L365" i="20" s="1"/>
  <c r="L366" i="20" s="1"/>
  <c r="L367" i="20"/>
  <c r="L368" i="20" s="1"/>
  <c r="L369" i="20" s="1"/>
  <c r="L344" i="20"/>
  <c r="K447" i="20"/>
  <c r="K445" i="20"/>
  <c r="K444" i="20"/>
  <c r="L444" i="20"/>
  <c r="K441" i="20"/>
  <c r="K440" i="20"/>
  <c r="L443" i="20"/>
  <c r="L440" i="20"/>
  <c r="L441" i="20" s="1"/>
  <c r="K443" i="20"/>
  <c r="K439" i="20"/>
  <c r="L437" i="20"/>
  <c r="L439" i="20"/>
  <c r="K437" i="20"/>
  <c r="K435" i="20"/>
  <c r="K434" i="20"/>
  <c r="K433" i="20"/>
  <c r="K432" i="20"/>
  <c r="K431" i="20"/>
  <c r="K430" i="20"/>
  <c r="L429" i="20"/>
  <c r="L432" i="20" s="1"/>
  <c r="L430" i="20" s="1"/>
  <c r="L431" i="20"/>
  <c r="L433" i="20"/>
  <c r="L434" i="20"/>
  <c r="L435" i="20"/>
  <c r="L436" i="20" s="1"/>
  <c r="K429" i="20"/>
  <c r="K422" i="20"/>
  <c r="K421" i="20"/>
  <c r="K420" i="20"/>
  <c r="K419" i="20"/>
  <c r="K418" i="20"/>
  <c r="K417" i="20"/>
  <c r="K416" i="20"/>
  <c r="K415" i="20"/>
  <c r="K414" i="20"/>
  <c r="K413" i="20"/>
  <c r="K412" i="20"/>
  <c r="K411" i="20"/>
  <c r="K410" i="20"/>
  <c r="L409" i="20"/>
  <c r="L410" i="20" s="1"/>
  <c r="L411" i="20"/>
  <c r="L412" i="20"/>
  <c r="L413" i="20" s="1"/>
  <c r="L414" i="20" s="1"/>
  <c r="L415" i="20" s="1"/>
  <c r="L419" i="20"/>
  <c r="L420" i="20"/>
  <c r="L421" i="20"/>
  <c r="K409" i="20"/>
  <c r="K406" i="20"/>
  <c r="K405" i="20"/>
  <c r="K404" i="20"/>
  <c r="K403" i="20"/>
  <c r="K408" i="20"/>
  <c r="K407" i="20"/>
  <c r="K402" i="20"/>
  <c r="K401" i="20"/>
  <c r="K400" i="20"/>
  <c r="K399" i="20"/>
  <c r="K398" i="20"/>
  <c r="K397" i="20"/>
  <c r="K396" i="20"/>
  <c r="K395" i="20"/>
  <c r="K394" i="20"/>
  <c r="K393" i="20"/>
  <c r="K392" i="20"/>
  <c r="K391" i="20"/>
  <c r="K390" i="20"/>
  <c r="K389" i="20"/>
  <c r="K388" i="20"/>
  <c r="K387" i="20"/>
  <c r="K386" i="20"/>
  <c r="K384" i="20"/>
  <c r="K383" i="20"/>
  <c r="K382" i="20"/>
  <c r="K381" i="20"/>
  <c r="K380" i="20"/>
  <c r="K379" i="20"/>
  <c r="L378" i="20"/>
  <c r="K378" i="20"/>
  <c r="L381" i="20"/>
  <c r="L382" i="20"/>
  <c r="L379" i="20" s="1"/>
  <c r="L380" i="20" s="1"/>
  <c r="K377" i="20"/>
  <c r="K376" i="20"/>
  <c r="K373" i="20"/>
  <c r="K372" i="20"/>
  <c r="K375" i="20"/>
  <c r="K374" i="20"/>
  <c r="K371" i="20"/>
  <c r="K370" i="20"/>
  <c r="K369" i="20"/>
  <c r="L370" i="20"/>
  <c r="L371" i="20" s="1"/>
  <c r="L375" i="20" s="1"/>
  <c r="L374" i="20"/>
  <c r="L372" i="20"/>
  <c r="L373" i="20" s="1"/>
  <c r="K368" i="20"/>
  <c r="K367" i="20"/>
  <c r="K366" i="20"/>
  <c r="K365" i="20"/>
  <c r="K364" i="20"/>
  <c r="K363" i="20"/>
  <c r="K358" i="20"/>
  <c r="K357" i="20"/>
  <c r="K326" i="20"/>
  <c r="K307" i="20"/>
  <c r="K306" i="20"/>
  <c r="K305" i="20"/>
  <c r="K304" i="20"/>
  <c r="K317" i="20"/>
  <c r="K316" i="20"/>
  <c r="K315" i="20"/>
  <c r="K314" i="20"/>
  <c r="K313" i="20"/>
  <c r="K312" i="20"/>
  <c r="K311" i="20"/>
  <c r="K310" i="20"/>
  <c r="K309" i="20"/>
  <c r="K308" i="20"/>
  <c r="K303" i="20"/>
  <c r="K302" i="20"/>
  <c r="K301" i="20"/>
  <c r="K300" i="20"/>
  <c r="K299" i="20"/>
  <c r="K298" i="20"/>
  <c r="K297" i="20"/>
  <c r="K296" i="20"/>
  <c r="K295" i="20"/>
  <c r="K294" i="20"/>
  <c r="K293" i="20"/>
  <c r="K292" i="20"/>
  <c r="K291" i="20"/>
  <c r="K290" i="20"/>
  <c r="K289" i="20"/>
  <c r="K288" i="20"/>
  <c r="K287" i="20"/>
  <c r="K286" i="20"/>
  <c r="K285" i="20"/>
  <c r="K284" i="20"/>
  <c r="K283" i="20"/>
  <c r="K282" i="20"/>
  <c r="K281" i="20"/>
  <c r="K280" i="20"/>
  <c r="K354" i="20"/>
  <c r="K353" i="20"/>
  <c r="K352" i="20"/>
  <c r="K351" i="20"/>
  <c r="K350" i="20"/>
  <c r="K349" i="20"/>
  <c r="K348" i="20"/>
  <c r="K347" i="20"/>
  <c r="K346" i="20"/>
  <c r="K345" i="20"/>
  <c r="K344" i="20"/>
  <c r="K343" i="20"/>
  <c r="K342" i="20"/>
  <c r="K341" i="20"/>
  <c r="K340" i="20"/>
  <c r="K339" i="20"/>
  <c r="K338" i="20"/>
  <c r="L337" i="20"/>
  <c r="L339" i="20" s="1"/>
  <c r="L341" i="20" s="1"/>
  <c r="L343" i="20" s="1"/>
  <c r="L345" i="20" s="1"/>
  <c r="L346" i="20" s="1"/>
  <c r="L347" i="20" s="1"/>
  <c r="L338" i="20"/>
  <c r="L340" i="20" s="1"/>
  <c r="L342" i="20" s="1"/>
  <c r="K337" i="20"/>
  <c r="L334" i="20"/>
  <c r="K334" i="20"/>
  <c r="K336" i="20"/>
  <c r="K335" i="20"/>
  <c r="K333" i="20"/>
  <c r="K332" i="20"/>
  <c r="K331" i="20"/>
  <c r="L330" i="20"/>
  <c r="L331" i="20" s="1"/>
  <c r="L332" i="20"/>
  <c r="L333" i="20" s="1"/>
  <c r="L335" i="20"/>
  <c r="L336" i="20" s="1"/>
  <c r="K330" i="20"/>
  <c r="K329" i="20"/>
  <c r="K328" i="20"/>
  <c r="K327" i="20"/>
  <c r="K356" i="20"/>
  <c r="K355" i="20"/>
  <c r="K272" i="20"/>
  <c r="K271" i="20"/>
  <c r="K270" i="20"/>
  <c r="K275" i="20"/>
  <c r="K274" i="20"/>
  <c r="K273" i="20"/>
  <c r="K279" i="20"/>
  <c r="K278" i="20"/>
  <c r="K277" i="20"/>
  <c r="K276" i="20"/>
  <c r="K269" i="20"/>
  <c r="L268" i="20"/>
  <c r="L269" i="20"/>
  <c r="L276" i="20" s="1"/>
  <c r="L277" i="20" s="1"/>
  <c r="L278" i="20" s="1"/>
  <c r="L279" i="20" s="1"/>
  <c r="L273" i="20" s="1"/>
  <c r="L274" i="20" s="1"/>
  <c r="L275" i="20" s="1"/>
  <c r="L270" i="20"/>
  <c r="L271" i="20" s="1"/>
  <c r="L272" i="20"/>
  <c r="L355" i="20"/>
  <c r="L356" i="20" s="1"/>
  <c r="L327" i="20"/>
  <c r="L328" i="20" s="1"/>
  <c r="L329" i="20"/>
  <c r="K268" i="20"/>
  <c r="K267" i="20"/>
  <c r="K266" i="20"/>
  <c r="K265" i="20"/>
  <c r="K264" i="20"/>
  <c r="K263" i="20"/>
  <c r="K262" i="20"/>
  <c r="K261" i="20"/>
  <c r="K260" i="20"/>
  <c r="K259" i="20"/>
  <c r="K258" i="20"/>
  <c r="K257" i="20"/>
  <c r="K256" i="20"/>
  <c r="K255" i="20"/>
  <c r="K254" i="20"/>
  <c r="K253" i="20"/>
  <c r="K252" i="20"/>
  <c r="K251" i="20"/>
  <c r="K250" i="20"/>
  <c r="K249" i="20"/>
  <c r="K248" i="20"/>
  <c r="K247" i="20"/>
  <c r="K241" i="20"/>
  <c r="K240" i="20"/>
  <c r="K239" i="20"/>
  <c r="K238" i="20"/>
  <c r="K237" i="20"/>
  <c r="K236" i="20"/>
  <c r="K235" i="20"/>
  <c r="K234" i="20"/>
  <c r="K233" i="20"/>
  <c r="K232" i="20"/>
  <c r="K231" i="20"/>
  <c r="K230" i="20"/>
  <c r="K229" i="20"/>
  <c r="K228" i="20"/>
  <c r="K227" i="20"/>
  <c r="K226" i="20"/>
  <c r="K225" i="20"/>
  <c r="K224" i="20"/>
  <c r="K223" i="20"/>
  <c r="K222" i="20"/>
  <c r="K221" i="20"/>
  <c r="K220" i="20"/>
  <c r="K219" i="20"/>
  <c r="K218" i="20"/>
  <c r="K217" i="20"/>
  <c r="L216" i="20"/>
  <c r="L218" i="20" s="1"/>
  <c r="L220" i="20" s="1"/>
  <c r="L222" i="20" s="1"/>
  <c r="L224" i="20" s="1"/>
  <c r="L226" i="20" s="1"/>
  <c r="L228" i="20" s="1"/>
  <c r="L230" i="20" s="1"/>
  <c r="L232" i="20" s="1"/>
  <c r="L234" i="20" s="1"/>
  <c r="L236" i="20" s="1"/>
  <c r="L238" i="20" s="1"/>
  <c r="L240" i="20" s="1"/>
  <c r="K216" i="20"/>
  <c r="K215" i="20"/>
  <c r="K213" i="20"/>
  <c r="L212" i="20"/>
  <c r="K212" i="20"/>
  <c r="K211" i="20"/>
  <c r="L210" i="20"/>
  <c r="K210" i="20"/>
  <c r="L209" i="20"/>
  <c r="L211" i="20" s="1"/>
  <c r="L213" i="20" s="1"/>
  <c r="L215" i="20" s="1"/>
  <c r="L217" i="20" s="1"/>
  <c r="L219" i="20" s="1"/>
  <c r="L221" i="20" s="1"/>
  <c r="L223" i="20" s="1"/>
  <c r="L225" i="20" s="1"/>
  <c r="L227" i="20" s="1"/>
  <c r="L229" i="20" s="1"/>
  <c r="L231" i="20" s="1"/>
  <c r="L233" i="20" s="1"/>
  <c r="L235" i="20" s="1"/>
  <c r="L237" i="20" s="1"/>
  <c r="L239" i="20" s="1"/>
  <c r="L241" i="20" s="1"/>
  <c r="K209" i="20"/>
  <c r="L208" i="20"/>
  <c r="K208" i="20"/>
  <c r="L207" i="20"/>
  <c r="K207" i="20"/>
  <c r="L206" i="20"/>
  <c r="K206" i="20"/>
  <c r="L122" i="20"/>
  <c r="K122" i="20"/>
  <c r="L205" i="20"/>
  <c r="K205" i="20"/>
  <c r="L204" i="20"/>
  <c r="K204" i="20"/>
  <c r="L203" i="20"/>
  <c r="K203" i="20"/>
  <c r="L202" i="20"/>
  <c r="K202" i="20"/>
  <c r="L201" i="20"/>
  <c r="K201" i="20"/>
  <c r="L200" i="20"/>
  <c r="K200" i="20"/>
  <c r="L199" i="20"/>
  <c r="L383" i="20" s="1"/>
  <c r="L384" i="20"/>
  <c r="L385" i="20" s="1"/>
  <c r="K199" i="20"/>
  <c r="L198" i="20"/>
  <c r="K198" i="20"/>
  <c r="L195" i="20"/>
  <c r="L197" i="20" s="1"/>
  <c r="K195" i="20"/>
  <c r="L194" i="20"/>
  <c r="K194" i="20"/>
  <c r="L193" i="20"/>
  <c r="K193" i="20"/>
  <c r="L192" i="20"/>
  <c r="K192" i="20"/>
  <c r="K187" i="20"/>
  <c r="L186" i="20"/>
  <c r="K186" i="20"/>
  <c r="K185" i="20"/>
  <c r="L184" i="20"/>
  <c r="K184" i="20"/>
  <c r="L183" i="20"/>
  <c r="K183" i="20"/>
  <c r="L181" i="20"/>
  <c r="K181" i="20"/>
  <c r="L180" i="20"/>
  <c r="K180" i="20"/>
  <c r="K179" i="20"/>
  <c r="L178" i="20"/>
  <c r="K178" i="20"/>
  <c r="K177" i="20"/>
  <c r="L176" i="20"/>
  <c r="K176" i="20"/>
  <c r="K175" i="20"/>
  <c r="L174" i="20"/>
  <c r="K174" i="20"/>
  <c r="L173" i="20"/>
  <c r="L175" i="20" s="1"/>
  <c r="L177" i="20" s="1"/>
  <c r="L179" i="20" s="1"/>
  <c r="K173" i="20"/>
  <c r="L171" i="20"/>
  <c r="K171" i="20"/>
  <c r="K170" i="20"/>
  <c r="K169" i="20"/>
  <c r="L168" i="20"/>
  <c r="L170" i="20" s="1"/>
  <c r="K168" i="20"/>
  <c r="L167" i="20"/>
  <c r="L169" i="20" s="1"/>
  <c r="K167" i="20"/>
  <c r="K166" i="20"/>
  <c r="K165" i="20"/>
  <c r="K164" i="20"/>
  <c r="K163" i="20"/>
  <c r="K162" i="20"/>
  <c r="L161" i="20"/>
  <c r="L163" i="20" s="1"/>
  <c r="L165" i="20" s="1"/>
  <c r="K161" i="20"/>
  <c r="K160" i="20"/>
  <c r="K159" i="20"/>
  <c r="K158" i="20"/>
  <c r="K157" i="20"/>
  <c r="K156" i="20"/>
  <c r="L155" i="20"/>
  <c r="L156" i="20" s="1"/>
  <c r="L158" i="20" s="1"/>
  <c r="L160" i="20" s="1"/>
  <c r="L162" i="20" s="1"/>
  <c r="L164" i="20" s="1"/>
  <c r="L166" i="20" s="1"/>
  <c r="K155" i="20"/>
  <c r="L153" i="20"/>
  <c r="K153" i="20"/>
  <c r="K152" i="20"/>
  <c r="L151" i="20"/>
  <c r="K151" i="20"/>
  <c r="L150" i="20"/>
  <c r="L152" i="20" s="1"/>
  <c r="K150" i="20"/>
  <c r="L148" i="20"/>
  <c r="K148" i="20"/>
  <c r="L149" i="20"/>
  <c r="K149" i="20"/>
  <c r="L147" i="20"/>
  <c r="K147" i="20"/>
  <c r="L146" i="20"/>
  <c r="K146" i="20"/>
  <c r="L145" i="20"/>
  <c r="K145" i="20"/>
  <c r="L144" i="20"/>
  <c r="K144" i="20"/>
  <c r="L142" i="20"/>
  <c r="K142" i="20"/>
  <c r="L141" i="20"/>
  <c r="K141" i="20"/>
  <c r="L140" i="20"/>
  <c r="K140" i="20"/>
  <c r="L139" i="20"/>
  <c r="K139" i="20"/>
  <c r="L138" i="20"/>
  <c r="K138" i="20"/>
  <c r="L137" i="20"/>
  <c r="K137" i="20"/>
  <c r="L136" i="20"/>
  <c r="K136" i="20"/>
  <c r="L121" i="20"/>
  <c r="K121" i="20"/>
  <c r="L132" i="20"/>
  <c r="K132" i="20"/>
  <c r="L127" i="20"/>
  <c r="K127" i="20"/>
  <c r="L126" i="20"/>
  <c r="K126" i="20"/>
  <c r="L129" i="20"/>
  <c r="K129" i="20"/>
  <c r="L128" i="20"/>
  <c r="K128" i="20"/>
  <c r="L123" i="20"/>
  <c r="K123" i="20"/>
  <c r="L125" i="20"/>
  <c r="K125" i="20"/>
  <c r="L124" i="20"/>
  <c r="K124" i="20"/>
  <c r="L130" i="20"/>
  <c r="K130" i="20"/>
  <c r="L133" i="20"/>
  <c r="K133" i="20"/>
  <c r="L119" i="20"/>
  <c r="K119" i="20"/>
  <c r="L118" i="20"/>
  <c r="K118" i="20"/>
  <c r="K117" i="20"/>
  <c r="L116" i="20"/>
  <c r="K116" i="20"/>
  <c r="K115" i="20"/>
  <c r="L114" i="20"/>
  <c r="K114" i="20"/>
  <c r="K113" i="20"/>
  <c r="L112" i="20"/>
  <c r="K112" i="20"/>
  <c r="K111" i="20"/>
  <c r="K110" i="20"/>
  <c r="L109" i="20"/>
  <c r="L111" i="20" s="1"/>
  <c r="L113" i="20" s="1"/>
  <c r="L115" i="20" s="1"/>
  <c r="L117" i="20" s="1"/>
  <c r="K109" i="20"/>
  <c r="L134" i="20"/>
  <c r="L110" i="20" s="1"/>
  <c r="K134" i="20"/>
  <c r="K97" i="20"/>
  <c r="K96" i="20"/>
  <c r="K95" i="20"/>
  <c r="K94" i="20"/>
  <c r="K93" i="20"/>
  <c r="K92" i="20"/>
  <c r="L91" i="20"/>
  <c r="L93" i="20" s="1"/>
  <c r="L101" i="20" s="1"/>
  <c r="K91" i="20"/>
  <c r="K90" i="20"/>
  <c r="K89" i="20"/>
  <c r="L88" i="20"/>
  <c r="L90" i="20" s="1"/>
  <c r="L92" i="20" s="1"/>
  <c r="L100" i="20" s="1"/>
  <c r="K88" i="20"/>
  <c r="K87" i="20"/>
  <c r="L86" i="20"/>
  <c r="K86" i="20"/>
  <c r="L85" i="20"/>
  <c r="L87" i="20" s="1"/>
  <c r="L89" i="20" s="1"/>
  <c r="K85" i="20"/>
  <c r="L82" i="20"/>
  <c r="K82" i="20"/>
  <c r="L83" i="20"/>
  <c r="K83" i="20"/>
  <c r="L81" i="20"/>
  <c r="K81" i="20"/>
  <c r="L80" i="20"/>
  <c r="K80" i="20"/>
  <c r="L79" i="20"/>
  <c r="K79" i="20"/>
  <c r="L78" i="20"/>
  <c r="K78" i="20"/>
  <c r="L74" i="20"/>
  <c r="L77" i="20" s="1"/>
  <c r="K74" i="20"/>
  <c r="L75" i="20"/>
  <c r="K75" i="20"/>
  <c r="K73" i="20"/>
  <c r="L72" i="20"/>
  <c r="K72" i="20"/>
  <c r="K68" i="20"/>
  <c r="K67" i="20"/>
  <c r="L66" i="20"/>
  <c r="L68" i="20" s="1"/>
  <c r="L73" i="20" s="1"/>
  <c r="K66" i="20"/>
  <c r="K71" i="20"/>
  <c r="K70" i="20"/>
  <c r="L69" i="20"/>
  <c r="L71" i="20" s="1"/>
  <c r="L67" i="20" s="1"/>
  <c r="K69" i="20"/>
  <c r="K65" i="20"/>
  <c r="K64" i="20"/>
  <c r="L63" i="20"/>
  <c r="L65" i="20" s="1"/>
  <c r="L70" i="20" s="1"/>
  <c r="K63" i="20"/>
  <c r="K62" i="20"/>
  <c r="K61" i="20"/>
  <c r="L60" i="20"/>
  <c r="L62" i="20" s="1"/>
  <c r="L64" i="20" s="1"/>
  <c r="K60" i="20"/>
  <c r="K59" i="20"/>
  <c r="K58" i="20"/>
  <c r="L57" i="20"/>
  <c r="L59" i="20" s="1"/>
  <c r="L61" i="20" s="1"/>
  <c r="K57" i="20"/>
  <c r="K56" i="20"/>
  <c r="K55" i="20"/>
  <c r="L54" i="20"/>
  <c r="L56" i="20" s="1"/>
  <c r="L58" i="20" s="1"/>
  <c r="K54" i="20"/>
  <c r="K53" i="20"/>
  <c r="K52" i="20"/>
  <c r="L51" i="20"/>
  <c r="L53" i="20" s="1"/>
  <c r="L55" i="20" s="1"/>
  <c r="K51" i="20"/>
  <c r="K50" i="20"/>
  <c r="K49" i="20"/>
  <c r="L48" i="20"/>
  <c r="L50" i="20" s="1"/>
  <c r="L52" i="20" s="1"/>
  <c r="K48" i="20"/>
  <c r="K47" i="20"/>
  <c r="K46" i="20"/>
  <c r="L45" i="20"/>
  <c r="L47" i="20" s="1"/>
  <c r="L49" i="20" s="1"/>
  <c r="K45" i="20"/>
  <c r="K44" i="20"/>
  <c r="K43" i="20"/>
  <c r="L42" i="20"/>
  <c r="L44" i="20" s="1"/>
  <c r="L46" i="20" s="1"/>
  <c r="K42" i="20"/>
  <c r="K41" i="20"/>
  <c r="K40" i="20"/>
  <c r="L39" i="20"/>
  <c r="L41" i="20" s="1"/>
  <c r="L43" i="20" s="1"/>
  <c r="K39" i="20"/>
  <c r="K38" i="20"/>
  <c r="K37" i="20"/>
  <c r="L36" i="20"/>
  <c r="L38" i="20" s="1"/>
  <c r="L40" i="20" s="1"/>
  <c r="K36" i="20"/>
  <c r="K35" i="20"/>
  <c r="K34" i="20"/>
  <c r="L33" i="20"/>
  <c r="L35" i="20" s="1"/>
  <c r="L37" i="20" s="1"/>
  <c r="K33" i="20"/>
  <c r="K32" i="20"/>
  <c r="L31" i="20"/>
  <c r="K31" i="20"/>
  <c r="L30" i="20"/>
  <c r="L32" i="20" s="1"/>
  <c r="L34" i="20" s="1"/>
  <c r="K30" i="20"/>
  <c r="L144" i="21"/>
  <c r="L146" i="21"/>
  <c r="L148" i="21"/>
  <c r="L150" i="21"/>
  <c r="L152" i="21"/>
  <c r="L160" i="21"/>
  <c r="L162" i="21" s="1"/>
  <c r="L164" i="21" s="1"/>
  <c r="L166" i="21"/>
  <c r="L170" i="21"/>
  <c r="L135" i="21"/>
  <c r="L137" i="21"/>
  <c r="L139" i="21"/>
  <c r="L141" i="21"/>
  <c r="L143" i="21"/>
  <c r="L145" i="21"/>
  <c r="L147" i="21"/>
  <c r="L149" i="21"/>
  <c r="L416" i="20"/>
  <c r="L417" i="20"/>
  <c r="L418" i="20" s="1"/>
  <c r="L422" i="20" s="1"/>
  <c r="L84" i="21"/>
  <c r="L85" i="21" s="1"/>
  <c r="L167" i="21"/>
  <c r="L178" i="21" s="1"/>
  <c r="L188" i="21" s="1"/>
  <c r="L93" i="21"/>
  <c r="L95" i="21" s="1"/>
  <c r="L112" i="21" s="1"/>
  <c r="L94" i="21"/>
  <c r="L96" i="21" s="1"/>
  <c r="L242" i="20" l="1"/>
  <c r="L244" i="20" s="1"/>
  <c r="L243" i="20"/>
  <c r="L245" i="20" s="1"/>
  <c r="L248" i="20" s="1"/>
  <c r="L250" i="20" s="1"/>
  <c r="L252" i="20" s="1"/>
  <c r="L254" i="20" s="1"/>
  <c r="L256" i="20" s="1"/>
  <c r="L258" i="20" s="1"/>
  <c r="L260" i="20" s="1"/>
  <c r="L262" i="20" s="1"/>
  <c r="L264" i="20" s="1"/>
  <c r="L265" i="20" s="1"/>
  <c r="L266" i="20" s="1"/>
  <c r="L267" i="20" s="1"/>
  <c r="L363" i="21"/>
  <c r="L365" i="21" s="1"/>
  <c r="L367" i="21" s="1"/>
  <c r="L359" i="21"/>
  <c r="L361" i="21" s="1"/>
  <c r="L187" i="20"/>
  <c r="L189" i="20" s="1"/>
  <c r="L191" i="20" s="1"/>
  <c r="L321" i="20"/>
  <c r="L181" i="21"/>
  <c r="L182" i="20"/>
  <c r="L215" i="21"/>
  <c r="L217" i="21" s="1"/>
  <c r="L219" i="21" s="1"/>
  <c r="L221" i="21" s="1"/>
  <c r="L223" i="21" s="1"/>
  <c r="L225" i="21" s="1"/>
  <c r="L227" i="21" s="1"/>
  <c r="L229" i="21" s="1"/>
  <c r="L231" i="21" s="1"/>
  <c r="L233" i="21" s="1"/>
  <c r="L235" i="21" s="1"/>
  <c r="L237" i="21" s="1"/>
  <c r="L239" i="21" s="1"/>
  <c r="L272" i="21"/>
  <c r="L274" i="21" s="1"/>
  <c r="L276" i="21" s="1"/>
  <c r="L278" i="21" s="1"/>
  <c r="L280" i="21" s="1"/>
  <c r="L282" i="21" s="1"/>
  <c r="L284" i="21" s="1"/>
  <c r="L286" i="21" s="1"/>
  <c r="L288" i="21" s="1"/>
  <c r="L290" i="21" s="1"/>
  <c r="L292" i="21" s="1"/>
  <c r="L294" i="21" s="1"/>
  <c r="L296" i="21" s="1"/>
  <c r="L298" i="21" s="1"/>
  <c r="L300" i="21" s="1"/>
  <c r="L302" i="21" s="1"/>
  <c r="L304" i="21" s="1"/>
  <c r="L306" i="21" s="1"/>
  <c r="L308" i="21" s="1"/>
  <c r="L310" i="21" s="1"/>
  <c r="L312" i="21" s="1"/>
  <c r="L314" i="21" s="1"/>
  <c r="L316" i="21" s="1"/>
  <c r="L102" i="20"/>
  <c r="L97" i="20"/>
  <c r="L105" i="20" s="1"/>
  <c r="L151" i="21"/>
  <c r="L156" i="21"/>
  <c r="L158" i="21" s="1"/>
  <c r="L30" i="21"/>
  <c r="L103" i="21"/>
  <c r="L168" i="21"/>
  <c r="L108" i="20"/>
  <c r="L104" i="20"/>
  <c r="K26" i="21"/>
  <c r="L89" i="21"/>
  <c r="L102" i="21" s="1"/>
  <c r="L157" i="20"/>
  <c r="L159" i="20" s="1"/>
  <c r="L210" i="21"/>
  <c r="L92" i="21"/>
  <c r="L105" i="21" s="1"/>
  <c r="L212" i="21"/>
  <c r="L214" i="21" s="1"/>
  <c r="L216" i="21" s="1"/>
  <c r="L218" i="21" s="1"/>
  <c r="L220" i="21" s="1"/>
  <c r="L222" i="21" s="1"/>
  <c r="L224" i="21" s="1"/>
  <c r="L226" i="21" s="1"/>
  <c r="L228" i="21" s="1"/>
  <c r="L230" i="21" s="1"/>
  <c r="L232" i="21" s="1"/>
  <c r="L234" i="21" s="1"/>
  <c r="L236" i="21" s="1"/>
  <c r="L238" i="21" s="1"/>
  <c r="L240" i="21" s="1"/>
  <c r="L446" i="21"/>
  <c r="L174" i="21"/>
  <c r="L184" i="21" s="1"/>
  <c r="L169" i="21"/>
  <c r="L86" i="21"/>
  <c r="L88" i="21" s="1"/>
  <c r="L101" i="21" s="1"/>
  <c r="L110" i="21"/>
  <c r="L246" i="20" l="1"/>
  <c r="L247" i="20"/>
  <c r="L249" i="20" s="1"/>
  <c r="L251" i="20" s="1"/>
  <c r="L253" i="20" s="1"/>
  <c r="L255" i="20" s="1"/>
  <c r="L257" i="20" s="1"/>
  <c r="L259" i="20" s="1"/>
  <c r="L261" i="20" s="1"/>
  <c r="L263" i="20" s="1"/>
  <c r="L241" i="21"/>
  <c r="L243" i="21" s="1"/>
  <c r="L242" i="21"/>
  <c r="L244" i="21" s="1"/>
  <c r="L247" i="21" s="1"/>
  <c r="L249" i="21" s="1"/>
  <c r="L251" i="21" s="1"/>
  <c r="L253" i="21" s="1"/>
  <c r="L255" i="21" s="1"/>
  <c r="L257" i="21" s="1"/>
  <c r="L259" i="21" s="1"/>
  <c r="L261" i="21" s="1"/>
  <c r="L263" i="21" s="1"/>
  <c r="L265" i="21" s="1"/>
  <c r="L273" i="21"/>
  <c r="L275" i="21" s="1"/>
  <c r="L277" i="21" s="1"/>
  <c r="L279" i="21" s="1"/>
  <c r="L281" i="21" s="1"/>
  <c r="L283" i="21" s="1"/>
  <c r="L285" i="21" s="1"/>
  <c r="L287" i="21" s="1"/>
  <c r="L289" i="21" s="1"/>
  <c r="L291" i="21" s="1"/>
  <c r="L293" i="21" s="1"/>
  <c r="L295" i="21" s="1"/>
  <c r="L297" i="21" s="1"/>
  <c r="L299" i="21" s="1"/>
  <c r="L301" i="21" s="1"/>
  <c r="L303" i="21" s="1"/>
  <c r="L305" i="21" s="1"/>
  <c r="L307" i="21" s="1"/>
  <c r="L309" i="21" s="1"/>
  <c r="L311" i="21" s="1"/>
  <c r="L313" i="21" s="1"/>
  <c r="L315" i="21" s="1"/>
  <c r="L91" i="21"/>
  <c r="L104" i="21" s="1"/>
  <c r="L109" i="21"/>
  <c r="L99" i="21"/>
  <c r="L116" i="21" s="1"/>
  <c r="L245" i="21" l="1"/>
  <c r="L246" i="21"/>
  <c r="L248" i="21" s="1"/>
  <c r="L250" i="21" s="1"/>
  <c r="L252" i="21" s="1"/>
  <c r="L254" i="21" s="1"/>
  <c r="L256" i="21" s="1"/>
  <c r="L258" i="21" s="1"/>
  <c r="L260" i="21" s="1"/>
  <c r="L262" i="21" s="1"/>
  <c r="L264" i="21" s="1"/>
  <c r="L266" i="2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<sst xmlns="http://schemas.openxmlformats.org/spreadsheetml/2006/main" count="3860" uniqueCount="460">
  <si>
    <t>One size</t>
  </si>
  <si>
    <t>Link</t>
    <phoneticPr fontId="4" type="noConversion"/>
  </si>
  <si>
    <t>Ref.</t>
    <phoneticPr fontId="4" type="noConversion"/>
  </si>
  <si>
    <t>Nombre</t>
    <phoneticPr fontId="4" type="noConversion"/>
  </si>
  <si>
    <t>Talla</t>
    <phoneticPr fontId="4" type="noConversion"/>
  </si>
  <si>
    <t>Color</t>
    <phoneticPr fontId="4" type="noConversion"/>
  </si>
  <si>
    <t>Name</t>
    <phoneticPr fontId="4" type="noConversion"/>
  </si>
  <si>
    <t>Size</t>
    <phoneticPr fontId="4" type="noConversion"/>
  </si>
  <si>
    <t>Colour</t>
    <phoneticPr fontId="4" type="noConversion"/>
  </si>
  <si>
    <t>Nom</t>
    <phoneticPr fontId="4" type="noConversion"/>
  </si>
  <si>
    <t>Taille</t>
    <phoneticPr fontId="4" type="noConversion"/>
  </si>
  <si>
    <t>Couleur</t>
    <phoneticPr fontId="4" type="noConversion"/>
  </si>
  <si>
    <t>Caja</t>
    <phoneticPr fontId="4" type="noConversion"/>
  </si>
  <si>
    <t>Box</t>
  </si>
  <si>
    <t>Box</t>
    <phoneticPr fontId="4" type="noConversion"/>
  </si>
  <si>
    <t>Carton</t>
    <phoneticPr fontId="4" type="noConversion"/>
  </si>
  <si>
    <t>Pack</t>
    <phoneticPr fontId="4" type="noConversion"/>
  </si>
  <si>
    <t>Blister</t>
    <phoneticPr fontId="4" type="noConversion"/>
  </si>
  <si>
    <t>Unid.</t>
    <phoneticPr fontId="4" type="noConversion"/>
  </si>
  <si>
    <t>Unit</t>
    <phoneticPr fontId="4" type="noConversion"/>
  </si>
  <si>
    <t>Unité</t>
    <phoneticPr fontId="4" type="noConversion"/>
  </si>
  <si>
    <t>Género</t>
    <phoneticPr fontId="4" type="noConversion"/>
  </si>
  <si>
    <t>Gender</t>
    <phoneticPr fontId="4" type="noConversion"/>
  </si>
  <si>
    <t>Genre</t>
    <phoneticPr fontId="4" type="noConversion"/>
  </si>
  <si>
    <t>Samoyedo</t>
  </si>
  <si>
    <t xml:space="preserve">Pág.  </t>
  </si>
  <si>
    <t>Austral</t>
  </si>
  <si>
    <t>Himalaya</t>
  </si>
  <si>
    <t>0421</t>
  </si>
  <si>
    <t>Extreme</t>
  </si>
  <si>
    <t>Dogo Premium</t>
  </si>
  <si>
    <t>Victoria</t>
  </si>
  <si>
    <t>S-XL</t>
  </si>
  <si>
    <t>Nevada</t>
  </si>
  <si>
    <t xml:space="preserve">Page </t>
  </si>
  <si>
    <t>Page</t>
  </si>
  <si>
    <t>0404</t>
  </si>
  <si>
    <t>Leire</t>
  </si>
  <si>
    <t>0405</t>
  </si>
  <si>
    <t>Hombre - Man - Homme</t>
  </si>
  <si>
    <t>Color - Colour - Couleur</t>
  </si>
  <si>
    <t>Mujer - Woman - Femme</t>
  </si>
  <si>
    <t>Beagle</t>
  </si>
  <si>
    <t>Luciane</t>
  </si>
  <si>
    <t>Blanco - White - Blanc</t>
  </si>
  <si>
    <t>Estrella Woman L/S</t>
  </si>
  <si>
    <t>Rudolph</t>
  </si>
  <si>
    <t>Extreme Woman</t>
  </si>
  <si>
    <t>Belice</t>
  </si>
  <si>
    <t>Star</t>
  </si>
  <si>
    <t>0458</t>
  </si>
  <si>
    <t>Better</t>
  </si>
  <si>
    <t>Star woman</t>
  </si>
  <si>
    <t>See photo</t>
  </si>
  <si>
    <t>Monzha</t>
  </si>
  <si>
    <t>Ud/Pack</t>
  </si>
  <si>
    <t>Ud/Caja</t>
  </si>
  <si>
    <t>Unité/carton</t>
  </si>
  <si>
    <t>Units/box</t>
  </si>
  <si>
    <t>Units/pack</t>
  </si>
  <si>
    <t>Unité/blister</t>
  </si>
  <si>
    <t>Fox</t>
  </si>
  <si>
    <t>S-2XL</t>
  </si>
  <si>
    <t>Aneto</t>
  </si>
  <si>
    <t>S-3XL</t>
  </si>
  <si>
    <t>Nebraska</t>
  </si>
  <si>
    <t>Nebraska Woman</t>
  </si>
  <si>
    <t>Quebec</t>
  </si>
  <si>
    <t>Yukon</t>
  </si>
  <si>
    <t>Norway</t>
  </si>
  <si>
    <t>Norway Woman</t>
  </si>
  <si>
    <t>Oslo</t>
  </si>
  <si>
    <t>Oslo Woman</t>
  </si>
  <si>
    <t>Island</t>
  </si>
  <si>
    <t>Montmelo</t>
  </si>
  <si>
    <t>0365</t>
  </si>
  <si>
    <t>Prime</t>
  </si>
  <si>
    <t>Pointer</t>
  </si>
  <si>
    <t>3XL</t>
  </si>
  <si>
    <t>4XL</t>
  </si>
  <si>
    <t>XS-2XL</t>
  </si>
  <si>
    <t>Antartida</t>
  </si>
  <si>
    <t>Antartida Woman</t>
  </si>
  <si>
    <t xml:space="preserve"> </t>
  </si>
  <si>
    <t>Blanco/Color - White/Colour - Blanc/Couleur</t>
  </si>
  <si>
    <t>Fox Woman</t>
  </si>
  <si>
    <t>5XL</t>
  </si>
  <si>
    <t>Capri</t>
  </si>
  <si>
    <t>Shiba</t>
  </si>
  <si>
    <t>Jamaica</t>
  </si>
  <si>
    <t>0407</t>
  </si>
  <si>
    <t>0408</t>
  </si>
  <si>
    <t>Bahrain Woman</t>
  </si>
  <si>
    <t>Bahrain</t>
  </si>
  <si>
    <t>Finland</t>
  </si>
  <si>
    <t>0410</t>
  </si>
  <si>
    <t>Monzha Woman</t>
  </si>
  <si>
    <t>Siberia</t>
  </si>
  <si>
    <t>Finland woman</t>
  </si>
  <si>
    <t>Husky</t>
  </si>
  <si>
    <t>Husky Woman</t>
  </si>
  <si>
    <t>Color -Colour - Couleur</t>
  </si>
  <si>
    <t>Marino - Navy blue - Marine</t>
  </si>
  <si>
    <t>Negro - Black -Noir</t>
  </si>
  <si>
    <t>3XL-4XL</t>
  </si>
  <si>
    <t>Vigore-heather- chiné</t>
  </si>
  <si>
    <t>Adulto - Adult - Adulte</t>
  </si>
  <si>
    <t>Unisex - Unisex - Unisex</t>
  </si>
  <si>
    <t>3XS-2XL</t>
  </si>
  <si>
    <t>Teleno</t>
  </si>
  <si>
    <t>Minsk</t>
  </si>
  <si>
    <t>PACKAGING</t>
  </si>
  <si>
    <t>TARIFA CONFIDENCIAL
CONFIDENTIAL PRICE 
TARIF CONFIDENTIAL</t>
  </si>
  <si>
    <t>Stafford</t>
  </si>
  <si>
    <t>0428</t>
  </si>
  <si>
    <t>Imola Woman</t>
  </si>
  <si>
    <t>0427</t>
  </si>
  <si>
    <t>Imola</t>
  </si>
  <si>
    <t>Pegaso Premium</t>
  </si>
  <si>
    <t>Pegaso woman Premium</t>
  </si>
  <si>
    <t>Centauro Premium</t>
  </si>
  <si>
    <r>
      <t xml:space="preserve">NOTA GENERAL:
</t>
    </r>
    <r>
      <rPr>
        <sz val="8"/>
        <rFont val="Calibri"/>
        <family val="2"/>
      </rPr>
      <t>Los precios indicados en esta tarifa son para el año indicado y entran en vigor a partir de la fecha de edición del documento que se indica. Dichos precios son válidos salvo error tipográfico o de imprenta. No obstante lo anterior, LA EMPRESA., se reserva el derecho a cambiar y/o modificar cualquiera de los precios, sin previo aviso, bastando una comunicación por correo electrónico, por nuestra página web o aviso verbal por parte del equipo comercial previa a la formalización de ningún pedido, para que dicha modificación sea vinculante. En los precios antes indicados no se incluye el I.V.A., que será cargado al preceptivo tipo vigente en cada momento.
No se podrán hacer públicos precios de venta al cliente final inferiores al precio de tarifa confidencial incrementado en un 30% y en el porcentaje que corresponda a los impuestos que proceda aplicar. Si la Empresa detecta que algún colaborador, revendedor o distribuidor no cumple el mínimo anterior y hace público un precio inferior al indicado, se reserva el derecho a interrumpir la entrega de pedidos o incluso cesar las relaciones comerciales.</t>
    </r>
    <r>
      <rPr>
        <u/>
        <sz val="8"/>
        <rFont val="Calibri"/>
        <family val="2"/>
      </rPr>
      <t xml:space="preserve">
GENERAL REMARK:
</t>
    </r>
    <r>
      <rPr>
        <sz val="8"/>
        <rFont val="Calibri"/>
        <family val="2"/>
      </rPr>
      <t>The prices shown in this price list are for indicated period and are valid from the date of publication of this document. These prices are valid except for printing or typographical mistakes. However of the above,  THE COMPANY, reserves the right to change and/or modify any of the prices, without notice,  only an e-mail, the change in our web site or verbal notice from commercial team previous placing of the order, to which the amendment is binding . The prices listed above do not include VAT which will be charged at prevailing rate mandatory at all times.
No sale prices may be made public to the final customer below the price of the confidential rate increased by 30% and in the percentage corresponding to the applicable taxes. If the Company detects that a collaborator, reseller or distributor does not meet the previous minimum and makes a lower price than the one indicated, it reserves the right to interrupt the delivery of orders or even cease commercial relations.</t>
    </r>
    <r>
      <rPr>
        <u/>
        <sz val="8"/>
        <rFont val="Calibri"/>
        <family val="2"/>
      </rPr>
      <t xml:space="preserve">
NOTE GENERALE:
</t>
    </r>
    <r>
      <rPr>
        <sz val="8"/>
        <rFont val="Calibri"/>
        <family val="2"/>
      </rPr>
      <t>Les prix indiqués sur ce tarif sont pour l’année considérée,  et entrent en vigueur à partir de la date d’édition du document indiqué. Ces prix sont valables, sauf erreur de typographique ou d'imprimerie. LA ENTREPRISE, se réserve le droit de changer et/ou modifier les prix, à tout moment et sans préavis, par tout moyen à sa convenance. Seuls les prix confirmés par notre équipe commerciale, ou par tout autre moyen de communication de la part de nos Services, seront valables. Les prix sont toujours exprimés hors taxes.
Aucun prix de vente ne pourra être rendu public au client final en dessous du prix du tarif confidentiel majoré de 30% et du pourcentage correspondant aux taxes applicables. Si la Société détecte qu'un collaborateur, un revendeur ou un distributeur ne respecte pas le minimum requis et rend public un prix inférieur à celui indiqué, elle se réserve le droit d'interrompre la livraison des commandes ou même de cesser les relations commerciales.</t>
    </r>
  </si>
  <si>
    <t>Ulan</t>
  </si>
  <si>
    <t>Makalu</t>
  </si>
  <si>
    <t>Sitka</t>
  </si>
  <si>
    <t>Sitka woman</t>
  </si>
  <si>
    <t>5080</t>
  </si>
  <si>
    <t>Nepal</t>
  </si>
  <si>
    <t xml:space="preserve">ACCESORIOS · ACCESSORIES · ACCESSOIRES </t>
  </si>
  <si>
    <t>Color - Colour - Couleur- Negro Vigore</t>
  </si>
  <si>
    <t>Prince</t>
  </si>
  <si>
    <t>Prince Woman</t>
  </si>
  <si>
    <t>0402</t>
  </si>
  <si>
    <t>Tamil</t>
  </si>
  <si>
    <t>0409</t>
  </si>
  <si>
    <t>Tamil Woman</t>
  </si>
  <si>
    <t>FOOTWEAR</t>
  </si>
  <si>
    <t>TARIFA PVP · PVP PRICE LIST · TARIF PVP</t>
  </si>
  <si>
    <r>
      <t xml:space="preserve">NOTA GENERAL:
</t>
    </r>
    <r>
      <rPr>
        <sz val="8"/>
        <rFont val="Calibri"/>
        <family val="2"/>
      </rPr>
      <t>Los precios indicados en esta tarifa son para el año indicado y entran en vigor a partir de la fecha de edición del documento que se indica. Dichos precios son válidos salvo error tipográfico o de imprenta. No obstante lo anterior, LA EMPRESA., se reserva el derecho a cambiar y/o modificar cualquiera de los precios, sin previo aviso, bastando una comunicación por correo electrónico, por nuestra página web o aviso verbal por parte del equipo comercial previa a la formalización de ningún pedido, para que dicha modificación sea vinculante. En los precios antes indicados no se incluye el I.V.A., que será cargado al preceptivo tipo vigente en cada momento.</t>
    </r>
    <r>
      <rPr>
        <u/>
        <sz val="8"/>
        <rFont val="Calibri"/>
        <family val="2"/>
      </rPr>
      <t xml:space="preserve">
GENERAL REMARK:
</t>
    </r>
    <r>
      <rPr>
        <sz val="8"/>
        <rFont val="Calibri"/>
        <family val="2"/>
      </rPr>
      <t xml:space="preserve">The prices shown in this price list are for indicated period and are valid from the date of publication of this document. These prices are valid except for printing or typographical mistakes. However of the above,  THE COMPANY, reserves the right to change and/or modify any of the prices, without notice,  only an e-mail, the change in our web site or verbal notice from commercial team previous placing of the order, to which the amendment is binding . The prices listed above do not include VAT which will be charged at prevailing rate mandatory at all times.
</t>
    </r>
    <r>
      <rPr>
        <u/>
        <sz val="8"/>
        <rFont val="Calibri"/>
        <family val="2"/>
      </rPr>
      <t xml:space="preserve">
NOTE GENERALE:
</t>
    </r>
    <r>
      <rPr>
        <sz val="8"/>
        <rFont val="Calibri"/>
        <family val="2"/>
      </rPr>
      <t xml:space="preserve">Les prix indiqués sur ce tarif sont pour l’année considérée,  et entrent en vigueur à partir de la date d’édition du document indiqué. Ces prix sont valables, sauf erreur de typographique ou d'imprimerie. LA ENTREPRISE, se réserve le droit de changer et/ou modifier les prix, à tout moment et sans préavis, par tout moyen à sa convenance. Seuls les prix confirmés par notre équipe commerciale, ou par tout autre moyen de communication de la part de nos Services, seront valables. Les prix sont toujours exprimés hors taxes.
</t>
    </r>
  </si>
  <si>
    <t>TARIFA CONFIDENCIAL · CONFIDENTIAL PRICE LIST · TARIF CONFIDENTIEL</t>
  </si>
  <si>
    <t>1.</t>
  </si>
  <si>
    <t>2.</t>
  </si>
  <si>
    <t>3.</t>
  </si>
  <si>
    <r>
      <t xml:space="preserve">La tarifa de venta al público (PVP) puede ser editada. Para ello, sólo debe modificar el porcentaje de incremento de comercialización de la casilla bajo estas líneas:                                                                                                                                                                                                           </t>
    </r>
    <r>
      <rPr>
        <i/>
        <sz val="11"/>
        <color indexed="8"/>
        <rFont val="Calibri"/>
        <family val="2"/>
      </rPr>
      <t>The recommended retail price (RRP) can be edited. To do this, simply modify the percentage increase of merchandising  in the box under these lines:
Le tarif de vente public (PVP) est éditable. Il suffit de modifier le pourcentage de la hausse des prix de commercialisation situé dans la case en dessous de ces lignes:</t>
    </r>
  </si>
  <si>
    <r>
      <t xml:space="preserve">PORCENTAJE DE INCREMENTO DE COMERCIALIZACIÓN                             INCREASE PERCENTAGE OF MERCHANDISING 
</t>
    </r>
    <r>
      <rPr>
        <b/>
        <i/>
        <sz val="11"/>
        <color indexed="8"/>
        <rFont val="Calibri"/>
        <family val="2"/>
      </rPr>
      <t>POURCENTAJE DE HAUSSE DES PRIX DE COMMERCIALISATION</t>
    </r>
  </si>
  <si>
    <t>4.</t>
  </si>
  <si>
    <r>
      <t xml:space="preserve">Los precios de tarifa de venta al público (PVP) no incluyen impuestos, se muestran en Euros y están redondeados al alza con dos decimales.
</t>
    </r>
    <r>
      <rPr>
        <i/>
        <sz val="11"/>
        <color indexed="8"/>
        <rFont val="Calibri"/>
        <family val="2"/>
      </rPr>
      <t>Prices of recommended retail price (RRP) do not include taxes, they are shown in Euros and are rounded to two decimals.
Les prix du tarif de vente public (PVP) n’incluent pas les impôts, se montrent en Euros et sont arrondis a deux décimaux.</t>
    </r>
  </si>
  <si>
    <t>38-60</t>
  </si>
  <si>
    <t>Brock</t>
  </si>
  <si>
    <t>Brock Woman</t>
  </si>
  <si>
    <t>36-52</t>
  </si>
  <si>
    <t>Beverly</t>
  </si>
  <si>
    <t>Beverly Woman</t>
  </si>
  <si>
    <t>Hilton</t>
  </si>
  <si>
    <t>Ritz</t>
  </si>
  <si>
    <t>36-48</t>
  </si>
  <si>
    <t>38-52</t>
  </si>
  <si>
    <t>Ringo</t>
  </si>
  <si>
    <t>Bonati</t>
  </si>
  <si>
    <t>9110</t>
  </si>
  <si>
    <t>Patrol</t>
  </si>
  <si>
    <t>36-60</t>
  </si>
  <si>
    <t>La pestaña de color gris, corresponde a los precios de tarifa confidencial del catálogo ROLY 2024.                                                                               The grey tab corresponds to prices in Confidential Price list for  ROLY  2024 catalogue.
L’onglet gris correspond aux prix du tarif confidentiel du catalogue ROLY 2024.</t>
  </si>
  <si>
    <t>La pestaña de color verde alberga la tarifa de venta al público (PVP) recomendada para el catálogo ROLY 2024.                                                  The green tab has the recommended retail price (RRP) for ROLY 2023 catalogue.
L’onglet vert contient le tarif de vente public (PVP) recommandé pour le catalogue ROLY 2024.</t>
  </si>
  <si>
    <t>NEW</t>
  </si>
  <si>
    <t>5073</t>
  </si>
  <si>
    <t>America Woman</t>
  </si>
  <si>
    <t xml:space="preserve">America </t>
  </si>
  <si>
    <t>0430</t>
  </si>
  <si>
    <t>Estoril</t>
  </si>
  <si>
    <t>0432</t>
  </si>
  <si>
    <t>Estoril L/S</t>
  </si>
  <si>
    <t>Estoril Woman</t>
  </si>
  <si>
    <t>0400</t>
  </si>
  <si>
    <t>Tormo</t>
  </si>
  <si>
    <t>0401</t>
  </si>
  <si>
    <t>Tormo Woman</t>
  </si>
  <si>
    <t>XS-3XL</t>
  </si>
  <si>
    <t>Kercus</t>
  </si>
  <si>
    <t>35-48</t>
  </si>
  <si>
    <t>Giskan</t>
  </si>
  <si>
    <t>Ulmus</t>
  </si>
  <si>
    <t>Ceryson</t>
  </si>
  <si>
    <t>Noboa</t>
  </si>
  <si>
    <t>Vitinja</t>
  </si>
  <si>
    <t>ALTA VISIBILIDAD · HI-VIZ · HAUTE VISIBILITÉ</t>
  </si>
  <si>
    <t>Tauri</t>
  </si>
  <si>
    <t>Atrio</t>
  </si>
  <si>
    <t>Atrio L/S</t>
  </si>
  <si>
    <t>Vega</t>
  </si>
  <si>
    <t>Vega L/S</t>
  </si>
  <si>
    <t>Delta</t>
  </si>
  <si>
    <t>Polaris L/S</t>
  </si>
  <si>
    <t>Polaris</t>
  </si>
  <si>
    <t>Persei</t>
  </si>
  <si>
    <t>Antares</t>
  </si>
  <si>
    <t>Spica</t>
  </si>
  <si>
    <t>Altair</t>
  </si>
  <si>
    <t>Merak</t>
  </si>
  <si>
    <t>Epsylon</t>
  </si>
  <si>
    <t>Beta</t>
  </si>
  <si>
    <t>M/L - XL/2XL</t>
  </si>
  <si>
    <t>Sirio</t>
  </si>
  <si>
    <t>Polux</t>
  </si>
  <si>
    <t>Daily HV</t>
  </si>
  <si>
    <t>Alfa</t>
  </si>
  <si>
    <t>Enix</t>
  </si>
  <si>
    <t>Daily strech HV</t>
  </si>
  <si>
    <t>Naos</t>
  </si>
  <si>
    <t>Soan</t>
  </si>
  <si>
    <t>IGNIFUGOS · FIRE RETARDANT · IGNIFUGER</t>
  </si>
  <si>
    <t>Defender</t>
  </si>
  <si>
    <t>Santana</t>
  </si>
  <si>
    <t>Cruiser</t>
  </si>
  <si>
    <t>Ranger</t>
  </si>
  <si>
    <t>Blazer</t>
  </si>
  <si>
    <t>SERVICES · SERVICES · SERVICES</t>
  </si>
  <si>
    <t>Jimmy</t>
  </si>
  <si>
    <t>Almanzor</t>
  </si>
  <si>
    <t>Venera</t>
  </si>
  <si>
    <t>Armour</t>
  </si>
  <si>
    <t>Vitara</t>
  </si>
  <si>
    <t>Amazonas</t>
  </si>
  <si>
    <t>Raptor</t>
  </si>
  <si>
    <t>Wall</t>
  </si>
  <si>
    <t xml:space="preserve">Daily </t>
  </si>
  <si>
    <t>Daily Woman</t>
  </si>
  <si>
    <t xml:space="preserve">Daily Next </t>
  </si>
  <si>
    <t>Daily woman Strech</t>
  </si>
  <si>
    <t>38-50</t>
  </si>
  <si>
    <t>Daily Strech</t>
  </si>
  <si>
    <t>Safety</t>
  </si>
  <si>
    <t>Protect</t>
  </si>
  <si>
    <t>Fonta</t>
  </si>
  <si>
    <t>Pintor</t>
  </si>
  <si>
    <t>PRENDAS COMBINADAS</t>
  </si>
  <si>
    <t>Expedition</t>
  </si>
  <si>
    <t>Samurai</t>
  </si>
  <si>
    <t>Maverick</t>
  </si>
  <si>
    <t>Terrano</t>
  </si>
  <si>
    <t>Armada</t>
  </si>
  <si>
    <t>Tahoe</t>
  </si>
  <si>
    <t>Trooper</t>
  </si>
  <si>
    <t>SANITARY &amp; AESTHETICS</t>
  </si>
  <si>
    <t>Ferox</t>
  </si>
  <si>
    <t>Ferox woman</t>
  </si>
  <si>
    <t>Fiber</t>
  </si>
  <si>
    <t>Panacea</t>
  </si>
  <si>
    <t>Care</t>
  </si>
  <si>
    <t>Vademecum</t>
  </si>
  <si>
    <t>Vaccine</t>
  </si>
  <si>
    <t>Vaccine woman</t>
  </si>
  <si>
    <t>Macil</t>
  </si>
  <si>
    <t>Talla unica</t>
  </si>
  <si>
    <t>Aldany</t>
  </si>
  <si>
    <t>FOOD INDUSTRY</t>
  </si>
  <si>
    <t>Rover</t>
  </si>
  <si>
    <t>Rover L/S</t>
  </si>
  <si>
    <t>Arzak</t>
  </si>
  <si>
    <t>Mederi</t>
  </si>
  <si>
    <t>Atala</t>
  </si>
  <si>
    <t>Lagasse</t>
  </si>
  <si>
    <t>S-L</t>
  </si>
  <si>
    <t>Rochat</t>
  </si>
  <si>
    <t>HORECA</t>
  </si>
  <si>
    <t>Dabiz</t>
  </si>
  <si>
    <t>Aifos</t>
  </si>
  <si>
    <t xml:space="preserve">Sofia </t>
  </si>
  <si>
    <t>Aifos L/S</t>
  </si>
  <si>
    <t>Sofia L/S</t>
  </si>
  <si>
    <t>Moscu</t>
  </si>
  <si>
    <t>Moscu Woman</t>
  </si>
  <si>
    <t>Oxford</t>
  </si>
  <si>
    <t>Oxford Woman</t>
  </si>
  <si>
    <t>Explorer</t>
  </si>
  <si>
    <t>Explorer woman</t>
  </si>
  <si>
    <t>Hilux</t>
  </si>
  <si>
    <t>Hilux Woman</t>
  </si>
  <si>
    <t>38-48</t>
  </si>
  <si>
    <t>Waiter</t>
  </si>
  <si>
    <t>Waitress</t>
  </si>
  <si>
    <t>36-50</t>
  </si>
  <si>
    <t>Classic</t>
  </si>
  <si>
    <t>Mini</t>
  </si>
  <si>
    <t>Dacosta</t>
  </si>
  <si>
    <t>Batali</t>
  </si>
  <si>
    <t>Bost</t>
  </si>
  <si>
    <t>Ducasse</t>
  </si>
  <si>
    <t>Benoit</t>
  </si>
  <si>
    <t>Senior</t>
  </si>
  <si>
    <t>Ramsay</t>
  </si>
  <si>
    <t>BASICS</t>
  </si>
  <si>
    <t>4 XL</t>
  </si>
  <si>
    <t>Bali</t>
    <phoneticPr fontId="2" type="noConversion"/>
  </si>
  <si>
    <t>Teckel</t>
    <phoneticPr fontId="2" type="noConversion"/>
  </si>
  <si>
    <t>S-2L</t>
  </si>
  <si>
    <t>Blanco- White- Blanc</t>
  </si>
  <si>
    <t>Montreal</t>
    <phoneticPr fontId="2" type="noConversion"/>
  </si>
  <si>
    <t>Estrella L/S</t>
    <phoneticPr fontId="2" type="noConversion"/>
  </si>
  <si>
    <t>Carpe</t>
    <phoneticPr fontId="2" type="noConversion"/>
  </si>
  <si>
    <t>Clasica</t>
    <phoneticPr fontId="2" type="noConversion"/>
  </si>
  <si>
    <t>0431</t>
  </si>
  <si>
    <t>Foran</t>
  </si>
  <si>
    <t>Foran L/S</t>
  </si>
  <si>
    <t>Lada</t>
  </si>
  <si>
    <t>Kutta</t>
  </si>
  <si>
    <t>Sian</t>
  </si>
  <si>
    <t>Nivus</t>
  </si>
  <si>
    <t>Warmor</t>
  </si>
  <si>
    <t>Lujan</t>
  </si>
  <si>
    <t>Lujan Woman</t>
  </si>
  <si>
    <t>Vivaro</t>
  </si>
  <si>
    <t>Beryl</t>
  </si>
  <si>
    <t>34-50</t>
  </si>
  <si>
    <t>Onyx</t>
  </si>
  <si>
    <t>Ruby</t>
  </si>
  <si>
    <t>Garnet</t>
  </si>
  <si>
    <t>Brax</t>
  </si>
  <si>
    <t>35-50</t>
  </si>
  <si>
    <t>Iron</t>
  </si>
  <si>
    <t>Rock</t>
  </si>
  <si>
    <t>Lua</t>
  </si>
  <si>
    <t>Pearl</t>
  </si>
  <si>
    <t>Salt</t>
  </si>
  <si>
    <t>Opal</t>
  </si>
  <si>
    <t>Basalt</t>
  </si>
  <si>
    <t>Wos</t>
  </si>
  <si>
    <t>New Bellagio</t>
  </si>
  <si>
    <t>New Artic</t>
  </si>
  <si>
    <t>New Artic Woman</t>
  </si>
  <si>
    <t>5707</t>
  </si>
  <si>
    <t>Emin</t>
  </si>
  <si>
    <t>6704</t>
  </si>
  <si>
    <t>Dome</t>
  </si>
  <si>
    <t>6613</t>
  </si>
  <si>
    <t>Flexar</t>
  </si>
  <si>
    <t>9081</t>
  </si>
  <si>
    <t>Darak</t>
  </si>
  <si>
    <t>Link</t>
    <phoneticPr fontId="0" type="noConversion"/>
  </si>
  <si>
    <t>Ref.</t>
    <phoneticPr fontId="0" type="noConversion"/>
  </si>
  <si>
    <t>Nombre</t>
    <phoneticPr fontId="0" type="noConversion"/>
  </si>
  <si>
    <t>Artículo</t>
  </si>
  <si>
    <r>
      <t xml:space="preserve">PRECIOS SEGÚN CANTIDAD </t>
    </r>
    <r>
      <rPr>
        <sz val="10"/>
        <color indexed="9"/>
        <rFont val="Arial"/>
        <family val="2"/>
      </rPr>
      <t>· PRICES PER QUANTITY · PRIX SELON QUANTITÉ</t>
    </r>
  </si>
  <si>
    <t>Name</t>
    <phoneticPr fontId="0" type="noConversion"/>
  </si>
  <si>
    <t>Article</t>
  </si>
  <si>
    <t>&lt; 500</t>
  </si>
  <si>
    <t xml:space="preserve">≥ 500 </t>
  </si>
  <si>
    <t>≥ 2000</t>
  </si>
  <si>
    <t>≥ 5000</t>
  </si>
  <si>
    <t>Nom</t>
    <phoneticPr fontId="0" type="noConversion"/>
  </si>
  <si>
    <t>7008</t>
  </si>
  <si>
    <t>Panel</t>
  </si>
  <si>
    <t>Gorra</t>
  </si>
  <si>
    <t>Consultar</t>
  </si>
  <si>
    <t>Gorra KIDS</t>
  </si>
  <si>
    <t>7019</t>
  </si>
  <si>
    <t>Eris</t>
  </si>
  <si>
    <t>7041</t>
  </si>
  <si>
    <t>Uranus</t>
  </si>
  <si>
    <t>9009</t>
  </si>
  <si>
    <t>Planet</t>
  </si>
  <si>
    <t>Gorro</t>
  </si>
  <si>
    <t>2009</t>
  </si>
  <si>
    <t>Nukka</t>
  </si>
  <si>
    <t>Braga</t>
  </si>
  <si>
    <t>9004</t>
  </si>
  <si>
    <t>Nanuk</t>
  </si>
  <si>
    <t>1813</t>
  </si>
  <si>
    <t>Ayora</t>
  </si>
  <si>
    <t>1812</t>
  </si>
  <si>
    <t>Derek</t>
  </si>
  <si>
    <t>1815</t>
  </si>
  <si>
    <t>Kenia</t>
  </si>
  <si>
    <t>Mochila</t>
  </si>
  <si>
    <t>1521</t>
  </si>
  <si>
    <t>Malony</t>
  </si>
  <si>
    <t>Isbud</t>
  </si>
  <si>
    <t>1285</t>
  </si>
  <si>
    <t>Balder</t>
  </si>
  <si>
    <t>7033</t>
  </si>
  <si>
    <t>Fred</t>
  </si>
  <si>
    <t>1470</t>
  </si>
  <si>
    <t>Rosmal</t>
  </si>
  <si>
    <t>1631</t>
  </si>
  <si>
    <t>Patrik</t>
  </si>
  <si>
    <t>1236</t>
  </si>
  <si>
    <t>Dakota</t>
  </si>
  <si>
    <t>1866</t>
  </si>
  <si>
    <t>1838</t>
  </si>
  <si>
    <t>Donker</t>
  </si>
  <si>
    <t>1883</t>
  </si>
  <si>
    <t>Oregon</t>
  </si>
  <si>
    <t>1783</t>
  </si>
  <si>
    <t>Hobart</t>
  </si>
  <si>
    <t>1354</t>
  </si>
  <si>
    <t>Brunen</t>
  </si>
  <si>
    <t>1048</t>
  </si>
  <si>
    <t>Kugar</t>
  </si>
  <si>
    <t>1526</t>
  </si>
  <si>
    <t>Fenati</t>
  </si>
  <si>
    <t>1549</t>
  </si>
  <si>
    <t>Rayan</t>
  </si>
  <si>
    <t>0108</t>
  </si>
  <si>
    <t>Lock</t>
  </si>
  <si>
    <t>1630</t>
  </si>
  <si>
    <t>Razer</t>
  </si>
  <si>
    <t>0105</t>
  </si>
  <si>
    <t>Rivet</t>
  </si>
  <si>
    <t>0106</t>
  </si>
  <si>
    <t>Pick</t>
  </si>
  <si>
    <t>Cutter</t>
  </si>
  <si>
    <t>Flexómetro</t>
  </si>
  <si>
    <t>4127</t>
  </si>
  <si>
    <t>Turner</t>
  </si>
  <si>
    <t>Veta</t>
  </si>
  <si>
    <t>8088</t>
  </si>
  <si>
    <t>3991</t>
  </si>
  <si>
    <t>Brico</t>
  </si>
  <si>
    <t>Set de herramientas</t>
  </si>
  <si>
    <t>Lápiz</t>
  </si>
  <si>
    <t xml:space="preserve">Multiherramienta </t>
  </si>
  <si>
    <t>1492</t>
  </si>
  <si>
    <t>Puria</t>
  </si>
  <si>
    <t>3990</t>
  </si>
  <si>
    <t>Goliat</t>
  </si>
  <si>
    <t>1559</t>
  </si>
  <si>
    <t>Larson</t>
  </si>
  <si>
    <t>1557</t>
  </si>
  <si>
    <t>Voro</t>
  </si>
  <si>
    <t>1248</t>
  </si>
  <si>
    <t>Daga</t>
  </si>
  <si>
    <t>1773</t>
  </si>
  <si>
    <t>Numam</t>
  </si>
  <si>
    <t>Navaja</t>
  </si>
  <si>
    <t>linterna LED</t>
  </si>
  <si>
    <t xml:space="preserve">Linterna </t>
  </si>
  <si>
    <t>4075</t>
  </si>
  <si>
    <t>Merlot</t>
  </si>
  <si>
    <t>1891</t>
  </si>
  <si>
    <t>Pingux</t>
  </si>
  <si>
    <t>1193</t>
  </si>
  <si>
    <t>Vuren</t>
  </si>
  <si>
    <t>1189</t>
  </si>
  <si>
    <t>Rical</t>
  </si>
  <si>
    <t>1234</t>
  </si>
  <si>
    <t>Saipan</t>
  </si>
  <si>
    <t>Sacacorchos</t>
  </si>
  <si>
    <t xml:space="preserve">Sacacorchos </t>
  </si>
  <si>
    <t>Abridor</t>
  </si>
  <si>
    <t>1256</t>
  </si>
  <si>
    <t>Ruper</t>
  </si>
  <si>
    <t xml:space="preserve">Nevera </t>
  </si>
  <si>
    <t>1194</t>
  </si>
  <si>
    <t>Kunes</t>
  </si>
  <si>
    <t>7609</t>
  </si>
  <si>
    <t>Marlox</t>
  </si>
  <si>
    <t>1720</t>
  </si>
  <si>
    <t>Ozark</t>
  </si>
  <si>
    <t>6441</t>
  </si>
  <si>
    <t>Escocia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</si>
</sst>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0.00\ &quot;€&quot;_-;\-* #,##0.00\ &quot;€&quot;_-;_-* &quot;-&quot;??\ &quot;€&quot;_-;_-@_-"/>
    <numFmt numFmtId="164" formatCode="_-* #,##0.00\ _€_-;\-* #,##0.00\ _€_-;_-* &quot;-&quot;??\ _€_-;_-@_-"/>
    <numFmt numFmtId="165" formatCode="#,##0_ ;\-#,##0\ "/>
    <numFmt numFmtId="166" formatCode="_-* #,##0.000\ &quot;€&quot;_-;\-* #,##0.000\ &quot;€&quot;_-;_-* &quot;-&quot;??\ &quot;€&quot;_-;_-@_-"/>
    <numFmt numFmtId="167" formatCode="_-* #,##0.000\ &quot;€&quot;_-;\-* #,##0.000\ &quot;€&quot;_-;_-* &quot;-&quot;???\ &quot;€&quot;_-;_-@_-"/>
    <numFmt numFmtId="168" formatCode="_-* #,##0.000\ _€_-;\-* #,##0.000\ _€_-;_-* &quot;-&quot;??\ _€_-;_-@_-"/>
    <numFmt numFmtId="169" formatCode="_-* #,##0.000\ [$€-C0A]_-;\-* #,##0.000\ [$€-C0A]_-;_-* &quot;-&quot;??\ [$€-C0A]_-;_-@_-"/>
    <numFmt numFmtId="170" formatCode="_-[$£-809]* #,##0.000_-;\-[$£-809]* #,##0.000_-;_-[$£-809]* &quot;-&quot;??_-;_-@_-"/>
  </numFmts>
  <fonts count="65">
    <font>
      <sz val="11"/>
      <color theme="1"/>
      <name val="Calibri"/>
      <family val="2"/>
      <scheme val="minor"/>
    </font>
    <font>
      <sz val="11"/>
      <color indexed="8"/>
      <name val="Calibri"/>
      <family val="2"/>
    </font>
    <font>
      <b/>
      <sz val="10"/>
      <color indexed="9"/>
      <name val="Arial"/>
      <family val="2"/>
    </font>
    <font>
      <sz val="11"/>
      <color indexed="8"/>
      <name val="Calibri"/>
      <family val="2"/>
    </font>
    <font>
      <sz val="8"/>
      <name val="Calibri"/>
      <family val="2"/>
    </font>
    <font>
      <sz val="10"/>
      <name val="Arial"/>
      <family val="2"/>
    </font>
    <font>
      <u/>
      <sz val="11"/>
      <color indexed="12"/>
      <name val="Calibri"/>
      <family val="2"/>
    </font>
    <font>
      <b/>
      <sz val="10"/>
      <color indexed="8"/>
      <name val="Arial"/>
      <family val="2"/>
    </font>
    <font>
      <sz val="8"/>
      <color indexed="8"/>
      <name val="Arial Italic"/>
    </font>
    <font>
      <sz val="10"/>
      <name val="Arial Bold"/>
    </font>
    <font>
      <b/>
      <sz val="11"/>
      <color indexed="56"/>
      <name val="Calibri"/>
      <family val="2"/>
    </font>
    <font>
      <b/>
      <sz val="15"/>
      <color indexed="56"/>
      <name val="Calibri"/>
      <family val="2"/>
    </font>
    <font>
      <sz val="11"/>
      <name val="Calibri"/>
      <family val="2"/>
    </font>
    <font>
      <sz val="11"/>
      <color indexed="9"/>
      <name val="Calibri"/>
      <family val="2"/>
    </font>
    <font>
      <sz val="11"/>
      <color indexed="17"/>
      <name val="Calibri"/>
      <family val="2"/>
    </font>
    <font>
      <b/>
      <sz val="11"/>
      <color indexed="9"/>
      <name val="Calibri"/>
      <family val="2"/>
    </font>
    <font>
      <sz val="11"/>
      <color indexed="5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b/>
      <sz val="13"/>
      <color indexed="56"/>
      <name val="Calibri"/>
      <family val="2"/>
    </font>
    <font>
      <sz val="10"/>
      <color indexed="9"/>
      <name val="Arial Italic"/>
    </font>
    <font>
      <sz val="10"/>
      <color indexed="8"/>
      <name val="Arial Italic"/>
    </font>
    <font>
      <u/>
      <sz val="9"/>
      <color indexed="12"/>
      <name val="Calibri"/>
      <family val="2"/>
    </font>
    <font>
      <b/>
      <sz val="9"/>
      <color indexed="9"/>
      <name val="Calibri"/>
      <family val="2"/>
    </font>
    <font>
      <b/>
      <sz val="9"/>
      <color indexed="9"/>
      <name val="Arial"/>
      <family val="2"/>
    </font>
    <font>
      <sz val="9"/>
      <color indexed="9"/>
      <name val="Arial Italic"/>
    </font>
    <font>
      <sz val="10"/>
      <color indexed="9"/>
      <name val="Arial"/>
      <family val="2"/>
    </font>
    <font>
      <b/>
      <sz val="28"/>
      <color indexed="9"/>
      <name val="Calibri"/>
      <family val="2"/>
    </font>
    <font>
      <b/>
      <sz val="10"/>
      <color indexed="9"/>
      <name val="Calibri"/>
      <family val="2"/>
    </font>
    <font>
      <u/>
      <sz val="9"/>
      <name val="Calibri"/>
      <family val="2"/>
    </font>
    <font>
      <u/>
      <sz val="8"/>
      <name val="Calibri"/>
      <family val="2"/>
    </font>
    <font>
      <b/>
      <sz val="10"/>
      <name val="Arial Bold"/>
    </font>
    <font>
      <b/>
      <sz val="11"/>
      <color indexed="8"/>
      <name val="Calibri"/>
      <family val="2"/>
    </font>
    <font>
      <i/>
      <sz val="11"/>
      <color indexed="8"/>
      <name val="Calibri"/>
      <family val="2"/>
    </font>
    <font>
      <b/>
      <i/>
      <sz val="11"/>
      <color indexed="8"/>
      <name val="Calibri"/>
      <family val="2"/>
    </font>
    <font>
      <sz val="11"/>
      <color theme="1"/>
      <name val="Calibri"/>
      <family val="2"/>
      <scheme val="minor"/>
    </font>
    <font>
      <sz val="11"/>
      <name val="Calibri"/>
      <family val="2"/>
      <scheme val="minor"/>
    </font>
    <font>
      <sz val="9"/>
      <color theme="1"/>
      <name val="Calibri"/>
      <family val="2"/>
      <scheme val="minor"/>
    </font>
    <font>
      <sz val="10"/>
      <color theme="1"/>
      <name val="Arial"/>
      <family val="2"/>
    </font>
    <font>
      <b/>
      <sz val="10"/>
      <color theme="0"/>
      <name val="Arial"/>
      <family val="2"/>
    </font>
    <font>
      <sz val="10"/>
      <color theme="0"/>
      <name val="Arial Italic"/>
    </font>
    <font>
      <b/>
      <sz val="12"/>
      <color theme="1"/>
      <name val="Arial"/>
      <family val="2"/>
    </font>
    <font>
      <b/>
      <sz val="8"/>
      <color rgb="FFFFFFFF"/>
      <name val="Calibri"/>
      <family val="2"/>
    </font>
    <font>
      <sz val="10"/>
      <color theme="1"/>
      <name val="Verdana"/>
      <family val="2"/>
    </font>
    <font>
      <sz val="10"/>
      <color rgb="FF000000"/>
      <name val="Verdana"/>
      <family val="2"/>
    </font>
    <font>
      <b/>
      <sz val="26"/>
      <color theme="0"/>
      <name val="Calibri"/>
      <family val="2"/>
    </font>
    <font>
      <b/>
      <sz val="12"/>
      <color theme="0"/>
      <name val="Arial"/>
      <family val="2"/>
    </font>
    <font>
      <sz val="11"/>
      <name val="Arial"/>
      <family val="2"/>
    </font>
    <font>
      <b/>
      <sz val="12"/>
      <name val="Arial"/>
      <family val="2"/>
    </font>
    <font>
      <sz val="11"/>
      <name val="Arial Bold"/>
    </font>
    <font>
      <b/>
      <sz val="11"/>
      <name val="Calibri"/>
      <family val="2"/>
    </font>
    <font>
      <b/>
      <sz val="11"/>
      <name val="Arial Bold"/>
    </font>
    <font>
      <u/>
      <sz val="10"/>
      <color indexed="12"/>
      <name val="Calibri"/>
      <family val="2"/>
    </font>
    <font>
      <b/>
      <sz val="11"/>
      <name val="Arial"/>
      <family val="2"/>
    </font>
    <font>
      <sz val="8"/>
      <name val="Calibri"/>
      <family val="2"/>
      <scheme val="minor"/>
    </font>
    <font>
      <sz val="11"/>
      <color theme="1"/>
      <name val="Arial BOLD"/>
    </font>
    <font>
      <u/>
      <sz val="11"/>
      <color indexed="12"/>
      <name val="Arial Bold"/>
    </font>
    <font>
      <sz val="11"/>
      <color rgb="FFFF0000"/>
      <name val="Calibri"/>
      <family val="2"/>
      <scheme val="minor"/>
    </font>
    <font>
      <b/>
      <sz val="10"/>
      <name val="Calibri"/>
      <family val="2"/>
    </font>
    <font>
      <b/>
      <sz val="8"/>
      <color theme="0"/>
      <name val="Calibri"/>
      <family val="2"/>
    </font>
    <font>
      <b/>
      <sz val="11"/>
      <color indexed="9"/>
      <name val="Arial"/>
      <family val="2"/>
    </font>
    <font>
      <u/>
      <sz val="11"/>
      <name val="Calibri"/>
      <family val="2"/>
    </font>
    <font>
      <b/>
      <sz val="11"/>
      <color indexed="12"/>
      <name val="Arial Bold"/>
    </font>
  </fonts>
  <fills count="5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8"/>
        <bgColor indexed="64"/>
      </patternFill>
    </fill>
    <fill>
      <patternFill patternType="solid">
        <fgColor indexed="55"/>
        <bgColor indexed="64"/>
      </patternFill>
    </fill>
    <fill>
      <patternFill patternType="solid">
        <fgColor theme="0"/>
        <bgColor indexed="64"/>
      </patternFill>
    </fill>
    <fill>
      <patternFill patternType="solid">
        <fgColor rgb="FFFFFFFF"/>
        <bgColor indexed="64"/>
      </patternFill>
    </fill>
    <fill>
      <patternFill patternType="solid">
        <fgColor theme="3" tint="0.59999389629810485"/>
        <bgColor indexed="64"/>
      </patternFill>
    </fill>
    <fill>
      <patternFill patternType="solid">
        <fgColor rgb="FFD13FC7"/>
        <bgColor indexed="64"/>
      </patternFill>
    </fill>
    <fill>
      <patternFill patternType="solid">
        <fgColor rgb="FFFFFF85"/>
        <bgColor indexed="64"/>
      </patternFill>
    </fill>
    <fill>
      <patternFill patternType="solid">
        <fgColor rgb="FF99A135"/>
        <bgColor indexed="64"/>
      </patternFill>
    </fill>
    <fill>
      <patternFill patternType="solid">
        <fgColor rgb="FFE2E88F"/>
        <bgColor indexed="64"/>
      </patternFill>
    </fill>
    <fill>
      <patternFill patternType="solid">
        <fgColor rgb="FFE26D0C"/>
        <bgColor indexed="64"/>
      </patternFill>
    </fill>
    <fill>
      <patternFill patternType="solid">
        <fgColor rgb="FFF8B884"/>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8" tint="-0.249977111117893"/>
        <bgColor indexed="64"/>
      </patternFill>
    </fill>
    <fill>
      <patternFill patternType="solid">
        <fgColor rgb="FF9CD3E0"/>
        <bgColor indexed="64"/>
      </patternFill>
    </fill>
    <fill>
      <patternFill patternType="solid">
        <fgColor rgb="FF38C693"/>
        <bgColor indexed="64"/>
      </patternFill>
    </fill>
    <fill>
      <patternFill patternType="solid">
        <fgColor rgb="FF96E1C7"/>
        <bgColor indexed="64"/>
      </patternFill>
    </fill>
    <fill>
      <patternFill patternType="solid">
        <fgColor rgb="FFF2AE6A"/>
        <bgColor indexed="64"/>
      </patternFill>
    </fill>
    <fill>
      <patternFill patternType="solid">
        <fgColor rgb="FFF7CDA3"/>
        <bgColor indexed="64"/>
      </patternFill>
    </fill>
    <fill>
      <patternFill patternType="solid">
        <fgColor rgb="FF23616F"/>
        <bgColor indexed="64"/>
      </patternFill>
    </fill>
    <fill>
      <patternFill patternType="solid">
        <fgColor theme="8" tint="0.39997558519241921"/>
        <bgColor indexed="64"/>
      </patternFill>
    </fill>
    <fill>
      <patternFill patternType="solid">
        <fgColor rgb="FF92CDDC"/>
        <bgColor indexed="64"/>
      </patternFill>
    </fill>
    <fill>
      <patternFill patternType="solid">
        <fgColor rgb="FFC4C4C4"/>
        <bgColor indexed="64"/>
      </patternFill>
    </fill>
    <fill>
      <patternFill patternType="solid">
        <fgColor theme="0" tint="-0.249977111117893"/>
        <bgColor indexed="64"/>
      </patternFill>
    </fill>
  </fills>
  <borders count="14">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s>
  <cellStyleXfs count="50">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1" fillId="0" borderId="1" applyNumberFormat="0" applyFill="0" applyAlignment="0" applyProtection="0"/>
    <xf numFmtId="0" fontId="21"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6" fillId="0" borderId="5" applyNumberFormat="0" applyFill="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21" borderId="0" applyNumberFormat="0" applyBorder="0" applyAlignment="0" applyProtection="0"/>
    <xf numFmtId="0" fontId="14" fillId="4" borderId="0" applyNumberFormat="0" applyBorder="0" applyAlignment="0" applyProtection="0"/>
    <xf numFmtId="0" fontId="6" fillId="0" borderId="0" applyNumberFormat="0" applyFill="0" applyBorder="0" applyAlignment="0" applyProtection="0">
      <alignment vertical="top"/>
      <protection locked="0"/>
    </xf>
    <xf numFmtId="0" fontId="17" fillId="3" borderId="0" applyNumberFormat="0" applyBorder="0" applyAlignment="0" applyProtection="0"/>
    <xf numFmtId="164" fontId="3" fillId="0" borderId="0" applyFont="0" applyFill="0" applyBorder="0" applyAlignment="0" applyProtection="0"/>
    <xf numFmtId="164" fontId="1" fillId="0" borderId="0" applyFont="0" applyFill="0" applyBorder="0" applyAlignment="0" applyProtection="0"/>
    <xf numFmtId="44" fontId="3"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8" fillId="2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 fillId="23" borderId="6" applyNumberFormat="0" applyFont="0" applyAlignment="0" applyProtection="0"/>
    <xf numFmtId="9" fontId="1" fillId="0" borderId="0" applyFont="0" applyFill="0" applyBorder="0" applyAlignment="0" applyProtection="0"/>
    <xf numFmtId="0" fontId="19" fillId="16" borderId="7" applyNumberFormat="0" applyAlignment="0" applyProtection="0"/>
    <xf numFmtId="0" fontId="20" fillId="0" borderId="0" applyNumberFormat="0" applyFill="0" applyBorder="0" applyAlignment="0" applyProtection="0"/>
    <xf numFmtId="0" fontId="15" fillId="17" borderId="4" applyNumberFormat="0" applyAlignment="0" applyProtection="0"/>
  </cellStyleXfs>
  <cellXfs count="344">
    <xf numFmtId="0" fontId="0" fillId="0" borderId="0" xfId="0"/>
    <xf numFmtId="0" fontId="12" fillId="0" borderId="0" xfId="0" applyFont="1" applyAlignment="1">
      <alignment horizontal="center"/>
    </xf>
    <xf numFmtId="0" fontId="12" fillId="0" borderId="0" xfId="0" applyFont="1" applyAlignment="1">
      <alignment horizontal="left"/>
    </xf>
    <xf numFmtId="0" fontId="0" fillId="24" borderId="0" xfId="0" applyFill="1"/>
    <xf numFmtId="0" fontId="0" fillId="0" borderId="0" xfId="0" applyAlignment="1">
      <alignment horizontal="center" vertical="center"/>
    </xf>
    <xf numFmtId="44" fontId="37" fillId="0" borderId="0" xfId="35" applyFont="1" applyAlignment="1" applyProtection="1">
      <alignment horizontal="center" vertical="center"/>
    </xf>
    <xf numFmtId="0" fontId="0" fillId="27" borderId="0" xfId="0" applyFill="1"/>
    <xf numFmtId="165" fontId="5" fillId="27" borderId="0" xfId="35" applyNumberFormat="1" applyFont="1" applyFill="1" applyBorder="1" applyAlignment="1" applyProtection="1">
      <alignment horizontal="center" vertical="center"/>
      <protection locked="0"/>
    </xf>
    <xf numFmtId="0" fontId="5" fillId="27" borderId="0" xfId="0" applyFont="1" applyFill="1" applyAlignment="1" applyProtection="1">
      <alignment horizontal="center" vertical="center"/>
      <protection locked="0"/>
    </xf>
    <xf numFmtId="0" fontId="22" fillId="25" borderId="0" xfId="0" applyFont="1" applyFill="1" applyAlignment="1">
      <alignment vertical="center" shrinkToFit="1"/>
    </xf>
    <xf numFmtId="0" fontId="22" fillId="25" borderId="0" xfId="0" applyFont="1" applyFill="1" applyAlignment="1">
      <alignment vertical="center" wrapText="1"/>
    </xf>
    <xf numFmtId="0" fontId="8" fillId="0" borderId="0" xfId="0" applyFont="1" applyAlignment="1">
      <alignment vertical="center" wrapText="1"/>
    </xf>
    <xf numFmtId="44" fontId="22" fillId="25" borderId="0" xfId="35" applyFont="1" applyFill="1" applyBorder="1" applyAlignment="1" applyProtection="1">
      <alignment vertical="center" shrinkToFit="1"/>
    </xf>
    <xf numFmtId="0" fontId="23" fillId="24" borderId="0" xfId="0" applyFont="1" applyFill="1" applyAlignment="1">
      <alignment vertical="center" shrinkToFit="1"/>
    </xf>
    <xf numFmtId="0" fontId="23" fillId="0" borderId="0" xfId="0" applyFont="1" applyAlignment="1">
      <alignment vertical="center" wrapText="1"/>
    </xf>
    <xf numFmtId="166" fontId="5" fillId="27" borderId="0" xfId="35" applyNumberFormat="1" applyFont="1" applyFill="1" applyBorder="1" applyAlignment="1" applyProtection="1">
      <alignment horizontal="center" vertical="center"/>
      <protection locked="0"/>
    </xf>
    <xf numFmtId="166" fontId="37" fillId="0" borderId="0" xfId="35" applyNumberFormat="1" applyFont="1" applyAlignment="1" applyProtection="1">
      <alignment horizontal="center" vertical="center"/>
    </xf>
    <xf numFmtId="166" fontId="38" fillId="0" borderId="0" xfId="35" applyNumberFormat="1" applyFont="1" applyAlignment="1" applyProtection="1">
      <alignment horizontal="center" vertical="center"/>
    </xf>
    <xf numFmtId="44" fontId="22" fillId="25" borderId="0" xfId="35" applyFont="1" applyFill="1" applyBorder="1" applyAlignment="1" applyProtection="1">
      <alignment horizontal="center" vertical="center" shrinkToFit="1"/>
    </xf>
    <xf numFmtId="0" fontId="22" fillId="25" borderId="0" xfId="0" applyFont="1" applyFill="1" applyAlignment="1">
      <alignment horizontal="center" vertical="center"/>
    </xf>
    <xf numFmtId="0" fontId="9" fillId="27" borderId="0" xfId="0" applyFont="1" applyFill="1" applyAlignment="1" applyProtection="1">
      <alignment horizontal="center" vertical="center"/>
      <protection locked="0"/>
    </xf>
    <xf numFmtId="0" fontId="7" fillId="24" borderId="0" xfId="0" applyFont="1" applyFill="1" applyAlignment="1">
      <alignment vertical="center" shrinkToFit="1"/>
    </xf>
    <xf numFmtId="0" fontId="2" fillId="25" borderId="0" xfId="0" applyFont="1" applyFill="1" applyAlignment="1">
      <alignment vertical="center" shrinkToFit="1"/>
    </xf>
    <xf numFmtId="44" fontId="2" fillId="25" borderId="0" xfId="35" applyFont="1" applyFill="1" applyBorder="1" applyAlignment="1" applyProtection="1">
      <alignment horizontal="center" vertical="center" shrinkToFit="1"/>
    </xf>
    <xf numFmtId="0" fontId="26" fillId="25" borderId="0" xfId="0" applyFont="1" applyFill="1" applyAlignment="1">
      <alignment vertical="center" shrinkToFit="1"/>
    </xf>
    <xf numFmtId="0" fontId="27" fillId="25" borderId="0" xfId="0" applyFont="1" applyFill="1" applyAlignment="1">
      <alignment vertical="center" shrinkToFit="1"/>
    </xf>
    <xf numFmtId="0" fontId="27" fillId="25" borderId="0" xfId="0" applyFont="1" applyFill="1" applyAlignment="1">
      <alignment vertical="center" wrapText="1"/>
    </xf>
    <xf numFmtId="0" fontId="24" fillId="27" borderId="0" xfId="31" applyFont="1" applyFill="1" applyBorder="1" applyAlignment="1" applyProtection="1">
      <alignment horizontal="center" vertical="center"/>
      <protection locked="0"/>
    </xf>
    <xf numFmtId="0" fontId="39" fillId="0" borderId="0" xfId="0" applyFont="1" applyAlignment="1">
      <alignment horizontal="center"/>
    </xf>
    <xf numFmtId="0" fontId="39" fillId="0" borderId="0" xfId="0" applyFont="1"/>
    <xf numFmtId="0" fontId="40" fillId="0" borderId="0" xfId="0" applyFont="1"/>
    <xf numFmtId="166" fontId="41" fillId="25" borderId="0" xfId="35" applyNumberFormat="1" applyFont="1" applyFill="1" applyBorder="1" applyAlignment="1" applyProtection="1">
      <alignment horizontal="center" vertical="center" shrinkToFit="1"/>
    </xf>
    <xf numFmtId="166" fontId="42" fillId="25" borderId="0" xfId="35" applyNumberFormat="1" applyFont="1" applyFill="1" applyBorder="1" applyAlignment="1" applyProtection="1">
      <alignment horizontal="center" vertical="center" shrinkToFit="1"/>
    </xf>
    <xf numFmtId="166" fontId="42" fillId="25" borderId="0" xfId="0" applyNumberFormat="1" applyFont="1" applyFill="1" applyAlignment="1">
      <alignment horizontal="center" vertical="center" wrapText="1"/>
    </xf>
    <xf numFmtId="166" fontId="0" fillId="0" borderId="0" xfId="0" applyNumberFormat="1" applyAlignment="1">
      <alignment horizontal="center" vertical="center"/>
    </xf>
    <xf numFmtId="166" fontId="38" fillId="0" borderId="0" xfId="0" applyNumberFormat="1" applyFont="1" applyAlignment="1">
      <alignment horizontal="center" vertical="center"/>
    </xf>
    <xf numFmtId="0" fontId="28" fillId="25" borderId="0" xfId="0" applyFont="1" applyFill="1" applyAlignment="1">
      <alignment horizontal="center" vertical="center" shrinkToFit="1"/>
    </xf>
    <xf numFmtId="0" fontId="28" fillId="25" borderId="0" xfId="0" applyFont="1" applyFill="1" applyAlignment="1">
      <alignment horizontal="center" vertical="center" wrapText="1"/>
    </xf>
    <xf numFmtId="0" fontId="40" fillId="0" borderId="0" xfId="0" applyFont="1" applyAlignment="1">
      <alignment horizontal="center" vertical="center"/>
    </xf>
    <xf numFmtId="0" fontId="40" fillId="0" borderId="0" xfId="0" applyFont="1" applyAlignment="1">
      <alignment horizontal="center"/>
    </xf>
    <xf numFmtId="0" fontId="43" fillId="0" borderId="0" xfId="0" applyFont="1" applyAlignment="1">
      <alignment horizontal="center" vertical="center"/>
    </xf>
    <xf numFmtId="0" fontId="29" fillId="25" borderId="0" xfId="0" applyFont="1" applyFill="1" applyAlignment="1">
      <alignment horizontal="center" vertical="top" wrapText="1"/>
    </xf>
    <xf numFmtId="0" fontId="25" fillId="25" borderId="0" xfId="0" applyFont="1" applyFill="1" applyAlignment="1">
      <alignment horizontal="center" vertical="top" wrapText="1"/>
    </xf>
    <xf numFmtId="0" fontId="30" fillId="25" borderId="0" xfId="0" applyFont="1" applyFill="1" applyAlignment="1">
      <alignment vertical="center" wrapText="1"/>
    </xf>
    <xf numFmtId="0" fontId="30" fillId="25" borderId="0" xfId="0" applyFont="1" applyFill="1" applyAlignment="1">
      <alignment horizontal="center" vertical="center" wrapText="1"/>
    </xf>
    <xf numFmtId="0" fontId="30" fillId="25" borderId="10" xfId="0" applyFont="1" applyFill="1" applyBorder="1" applyAlignment="1">
      <alignment horizontal="center" vertical="center" wrapText="1"/>
    </xf>
    <xf numFmtId="0" fontId="30" fillId="25" borderId="11" xfId="0" applyFont="1" applyFill="1" applyBorder="1" applyAlignment="1">
      <alignment horizontal="center" vertical="center" wrapText="1"/>
    </xf>
    <xf numFmtId="0" fontId="44" fillId="25" borderId="0" xfId="0" applyFont="1" applyFill="1" applyAlignment="1">
      <alignment vertical="center" wrapText="1"/>
    </xf>
    <xf numFmtId="0" fontId="45" fillId="0" borderId="0" xfId="0" applyFont="1" applyAlignment="1">
      <alignment vertical="center"/>
    </xf>
    <xf numFmtId="0" fontId="46" fillId="0" borderId="0" xfId="0" applyFont="1" applyAlignment="1">
      <alignment vertical="center"/>
    </xf>
    <xf numFmtId="0" fontId="6" fillId="0" borderId="0" xfId="31" applyAlignment="1" applyProtection="1">
      <alignment vertical="center"/>
    </xf>
    <xf numFmtId="0" fontId="0" fillId="28" borderId="0" xfId="0" applyFill="1"/>
    <xf numFmtId="0" fontId="38" fillId="28" borderId="0" xfId="0" applyFont="1" applyFill="1"/>
    <xf numFmtId="168" fontId="46" fillId="0" borderId="0" xfId="33" applyNumberFormat="1" applyFont="1" applyAlignment="1"/>
    <xf numFmtId="0" fontId="8" fillId="27" borderId="0" xfId="0" applyFont="1" applyFill="1" applyAlignment="1">
      <alignment vertical="center" wrapText="1"/>
    </xf>
    <xf numFmtId="0" fontId="5" fillId="27" borderId="9" xfId="0" applyFont="1" applyFill="1" applyBorder="1" applyAlignment="1" applyProtection="1">
      <alignment horizontal="center" vertical="center"/>
      <protection locked="0"/>
    </xf>
    <xf numFmtId="49" fontId="9" fillId="27" borderId="9" xfId="0" applyNumberFormat="1" applyFont="1" applyFill="1" applyBorder="1" applyAlignment="1" applyProtection="1">
      <alignment horizontal="center" vertical="center"/>
      <protection locked="0"/>
    </xf>
    <xf numFmtId="0" fontId="5" fillId="28" borderId="9" xfId="0" applyFont="1" applyFill="1" applyBorder="1" applyAlignment="1" applyProtection="1">
      <alignment horizontal="center" vertical="center"/>
      <protection locked="0"/>
    </xf>
    <xf numFmtId="0" fontId="6" fillId="0" borderId="0" xfId="31" applyAlignment="1" applyProtection="1"/>
    <xf numFmtId="0" fontId="6" fillId="0" borderId="9" xfId="31" applyFill="1" applyBorder="1" applyAlignment="1" applyProtection="1">
      <alignment horizontal="center" vertical="center" wrapText="1"/>
      <protection locked="0"/>
    </xf>
    <xf numFmtId="49" fontId="9" fillId="0" borderId="9" xfId="0" applyNumberFormat="1" applyFont="1" applyBorder="1" applyAlignment="1" applyProtection="1">
      <alignment horizontal="center" vertical="center"/>
      <protection locked="0"/>
    </xf>
    <xf numFmtId="0" fontId="5" fillId="0" borderId="9" xfId="0" applyFont="1" applyBorder="1" applyAlignment="1" applyProtection="1">
      <alignment horizontal="center" vertical="center"/>
      <protection locked="0"/>
    </xf>
    <xf numFmtId="166" fontId="9" fillId="0" borderId="9" xfId="35" applyNumberFormat="1" applyFont="1" applyFill="1" applyBorder="1" applyAlignment="1" applyProtection="1">
      <alignment horizontal="center" vertical="center"/>
      <protection locked="0"/>
    </xf>
    <xf numFmtId="0" fontId="5" fillId="0" borderId="12" xfId="0" applyFont="1" applyBorder="1" applyAlignment="1" applyProtection="1">
      <alignment horizontal="center" vertical="center"/>
      <protection locked="0"/>
    </xf>
    <xf numFmtId="0" fontId="24" fillId="0" borderId="9" xfId="31" applyFont="1" applyFill="1" applyBorder="1" applyAlignment="1" applyProtection="1">
      <alignment horizontal="center" vertical="center" wrapText="1"/>
      <protection locked="0"/>
    </xf>
    <xf numFmtId="3" fontId="5" fillId="0" borderId="9" xfId="0" applyNumberFormat="1" applyFont="1" applyBorder="1" applyAlignment="1" applyProtection="1">
      <alignment horizontal="center" vertical="center"/>
      <protection locked="0"/>
    </xf>
    <xf numFmtId="0" fontId="6" fillId="0" borderId="9" xfId="31" applyFill="1" applyBorder="1" applyAlignment="1" applyProtection="1">
      <alignment horizontal="center" vertical="center"/>
      <protection locked="0"/>
    </xf>
    <xf numFmtId="49" fontId="6" fillId="0" borderId="9" xfId="31" applyNumberFormat="1" applyFill="1" applyBorder="1" applyAlignment="1" applyProtection="1">
      <alignment horizontal="center" vertical="center"/>
      <protection locked="0"/>
    </xf>
    <xf numFmtId="44" fontId="2" fillId="25" borderId="0" xfId="36" applyFont="1" applyFill="1" applyBorder="1" applyAlignment="1" applyProtection="1">
      <alignment horizontal="center" vertical="center" shrinkToFit="1"/>
    </xf>
    <xf numFmtId="166" fontId="41" fillId="25" borderId="0" xfId="36" applyNumberFormat="1" applyFont="1" applyFill="1" applyBorder="1" applyAlignment="1" applyProtection="1">
      <alignment horizontal="center" vertical="center" shrinkToFit="1"/>
    </xf>
    <xf numFmtId="44" fontId="22" fillId="25" borderId="0" xfId="36" applyFont="1" applyFill="1" applyBorder="1" applyAlignment="1" applyProtection="1">
      <alignment vertical="center" shrinkToFit="1"/>
    </xf>
    <xf numFmtId="44" fontId="22" fillId="25" borderId="0" xfId="36" applyFont="1" applyFill="1" applyBorder="1" applyAlignment="1" applyProtection="1">
      <alignment horizontal="center" vertical="center" shrinkToFit="1"/>
    </xf>
    <xf numFmtId="166" fontId="42" fillId="25" borderId="0" xfId="36" applyNumberFormat="1" applyFont="1" applyFill="1" applyBorder="1" applyAlignment="1" applyProtection="1">
      <alignment horizontal="center" vertical="center" shrinkToFit="1"/>
    </xf>
    <xf numFmtId="168" fontId="46" fillId="0" borderId="0" xfId="34" applyNumberFormat="1" applyFont="1" applyAlignment="1"/>
    <xf numFmtId="164" fontId="37" fillId="0" borderId="0" xfId="34" applyFont="1" applyFill="1" applyAlignment="1"/>
    <xf numFmtId="165" fontId="5" fillId="27" borderId="0" xfId="36" applyNumberFormat="1" applyFont="1" applyFill="1" applyBorder="1" applyAlignment="1" applyProtection="1">
      <alignment horizontal="center" vertical="center"/>
      <protection locked="0"/>
    </xf>
    <xf numFmtId="166" fontId="5" fillId="27" borderId="0" xfId="36" applyNumberFormat="1" applyFont="1" applyFill="1" applyBorder="1" applyAlignment="1" applyProtection="1">
      <alignment horizontal="center" vertical="center"/>
      <protection locked="0"/>
    </xf>
    <xf numFmtId="44" fontId="37" fillId="0" borderId="0" xfId="36" applyFont="1" applyAlignment="1" applyProtection="1">
      <alignment horizontal="center" vertical="center"/>
    </xf>
    <xf numFmtId="166" fontId="37" fillId="0" borderId="0" xfId="36" applyNumberFormat="1" applyFont="1" applyAlignment="1" applyProtection="1">
      <alignment horizontal="center" vertical="center"/>
    </xf>
    <xf numFmtId="166" fontId="38" fillId="0" borderId="0" xfId="36" applyNumberFormat="1" applyFont="1" applyAlignment="1" applyProtection="1">
      <alignment horizontal="center" vertical="center"/>
    </xf>
    <xf numFmtId="166" fontId="33" fillId="0" borderId="9" xfId="36" applyNumberFormat="1" applyFont="1" applyFill="1" applyBorder="1" applyAlignment="1" applyProtection="1">
      <alignment horizontal="center" vertical="center"/>
      <protection locked="0"/>
    </xf>
    <xf numFmtId="0" fontId="0" fillId="26" borderId="0" xfId="0" applyFill="1"/>
    <xf numFmtId="0" fontId="0" fillId="24" borderId="0" xfId="0" applyFill="1" applyAlignment="1">
      <alignment vertical="top"/>
    </xf>
    <xf numFmtId="165" fontId="5" fillId="0" borderId="9" xfId="36" applyNumberFormat="1" applyFont="1" applyFill="1" applyBorder="1" applyAlignment="1" applyProtection="1">
      <alignment horizontal="center" vertical="center"/>
      <protection locked="0"/>
    </xf>
    <xf numFmtId="168" fontId="46" fillId="0" borderId="0" xfId="34" applyNumberFormat="1" applyFont="1" applyFill="1" applyAlignment="1"/>
    <xf numFmtId="0" fontId="5" fillId="0" borderId="0" xfId="0" applyFont="1" applyAlignment="1" applyProtection="1">
      <alignment horizontal="center" vertical="center"/>
      <protection locked="0"/>
    </xf>
    <xf numFmtId="167" fontId="0" fillId="0" borderId="0" xfId="0" applyNumberFormat="1"/>
    <xf numFmtId="0" fontId="0" fillId="29" borderId="0" xfId="0" applyFill="1"/>
    <xf numFmtId="9" fontId="0" fillId="0" borderId="0" xfId="0" applyNumberFormat="1"/>
    <xf numFmtId="9" fontId="0" fillId="28" borderId="0" xfId="0" applyNumberFormat="1" applyFill="1"/>
    <xf numFmtId="0" fontId="6" fillId="27" borderId="9" xfId="31" applyFill="1" applyBorder="1" applyAlignment="1" applyProtection="1">
      <alignment horizontal="center" vertical="center"/>
      <protection locked="0"/>
    </xf>
    <xf numFmtId="0" fontId="49" fillId="0" borderId="9" xfId="0" applyFont="1" applyBorder="1" applyAlignment="1" applyProtection="1">
      <alignment horizontal="center" vertical="center"/>
      <protection locked="0"/>
    </xf>
    <xf numFmtId="0" fontId="50" fillId="0" borderId="0" xfId="0" applyFont="1" applyAlignment="1">
      <alignment vertical="center"/>
    </xf>
    <xf numFmtId="0" fontId="49" fillId="27" borderId="12" xfId="0" applyFont="1" applyFill="1" applyBorder="1" applyAlignment="1" applyProtection="1">
      <alignment horizontal="center" vertical="center"/>
      <protection locked="0"/>
    </xf>
    <xf numFmtId="0" fontId="51" fillId="27" borderId="9" xfId="0" applyFont="1" applyFill="1" applyBorder="1" applyAlignment="1" applyProtection="1">
      <alignment horizontal="center" vertical="center"/>
      <protection locked="0"/>
    </xf>
    <xf numFmtId="0" fontId="49" fillId="27" borderId="9" xfId="0" applyFont="1" applyFill="1" applyBorder="1" applyAlignment="1" applyProtection="1">
      <alignment horizontal="center" vertical="center"/>
      <protection locked="0"/>
    </xf>
    <xf numFmtId="165" fontId="49" fillId="27" borderId="9" xfId="36" applyNumberFormat="1" applyFont="1" applyFill="1" applyBorder="1" applyAlignment="1" applyProtection="1">
      <alignment horizontal="center" vertical="center"/>
      <protection locked="0"/>
    </xf>
    <xf numFmtId="0" fontId="49" fillId="31" borderId="12" xfId="0" applyFont="1" applyFill="1" applyBorder="1" applyAlignment="1" applyProtection="1">
      <alignment horizontal="center" vertical="center"/>
      <protection locked="0"/>
    </xf>
    <xf numFmtId="0" fontId="51" fillId="31" borderId="9" xfId="0" applyFont="1" applyFill="1" applyBorder="1" applyAlignment="1" applyProtection="1">
      <alignment horizontal="center" vertical="center"/>
      <protection locked="0"/>
    </xf>
    <xf numFmtId="0" fontId="49" fillId="31" borderId="9" xfId="0" applyFont="1" applyFill="1" applyBorder="1" applyAlignment="1" applyProtection="1">
      <alignment horizontal="center" vertical="center"/>
      <protection locked="0"/>
    </xf>
    <xf numFmtId="0" fontId="5" fillId="31" borderId="9" xfId="0" applyFont="1" applyFill="1" applyBorder="1" applyAlignment="1" applyProtection="1">
      <alignment horizontal="center" vertical="center"/>
      <protection locked="0"/>
    </xf>
    <xf numFmtId="165" fontId="49" fillId="31" borderId="9" xfId="36" applyNumberFormat="1" applyFont="1" applyFill="1" applyBorder="1" applyAlignment="1" applyProtection="1">
      <alignment horizontal="center" vertical="center"/>
      <protection locked="0"/>
    </xf>
    <xf numFmtId="166" fontId="53" fillId="0" borderId="9" xfId="36" applyNumberFormat="1" applyFont="1" applyFill="1" applyBorder="1" applyAlignment="1" applyProtection="1">
      <alignment horizontal="center" vertical="center"/>
      <protection locked="0"/>
    </xf>
    <xf numFmtId="166" fontId="51" fillId="0" borderId="9" xfId="36" applyNumberFormat="1" applyFont="1" applyFill="1" applyBorder="1" applyAlignment="1" applyProtection="1">
      <alignment horizontal="center" vertical="center"/>
      <protection locked="0"/>
    </xf>
    <xf numFmtId="166" fontId="53" fillId="31" borderId="9" xfId="36" applyNumberFormat="1" applyFont="1" applyFill="1" applyBorder="1" applyAlignment="1" applyProtection="1">
      <alignment horizontal="center" vertical="center"/>
      <protection locked="0"/>
    </xf>
    <xf numFmtId="166" fontId="51" fillId="31" borderId="9" xfId="36" applyNumberFormat="1" applyFont="1" applyFill="1" applyBorder="1" applyAlignment="1" applyProtection="1">
      <alignment horizontal="center" vertical="center"/>
      <protection locked="0"/>
    </xf>
    <xf numFmtId="0" fontId="49" fillId="33" borderId="12" xfId="0" applyFont="1" applyFill="1" applyBorder="1" applyAlignment="1" applyProtection="1">
      <alignment horizontal="center" vertical="center"/>
      <protection locked="0"/>
    </xf>
    <xf numFmtId="0" fontId="6" fillId="33" borderId="9" xfId="31" applyFill="1" applyBorder="1" applyAlignment="1" applyProtection="1">
      <alignment horizontal="center" vertical="center"/>
      <protection locked="0"/>
    </xf>
    <xf numFmtId="0" fontId="51" fillId="33" borderId="9" xfId="0" applyFont="1" applyFill="1" applyBorder="1" applyAlignment="1" applyProtection="1">
      <alignment horizontal="center" vertical="center"/>
      <protection locked="0"/>
    </xf>
    <xf numFmtId="0" fontId="49" fillId="33" borderId="9" xfId="0" applyFont="1" applyFill="1" applyBorder="1" applyAlignment="1" applyProtection="1">
      <alignment horizontal="center" vertical="center"/>
      <protection locked="0"/>
    </xf>
    <xf numFmtId="165" fontId="49" fillId="33" borderId="9" xfId="36" applyNumberFormat="1" applyFont="1" applyFill="1" applyBorder="1" applyAlignment="1" applyProtection="1">
      <alignment horizontal="center" vertical="center"/>
      <protection locked="0"/>
    </xf>
    <xf numFmtId="0" fontId="49" fillId="0" borderId="12" xfId="0" applyFont="1" applyBorder="1" applyAlignment="1" applyProtection="1">
      <alignment horizontal="center" vertical="center"/>
      <protection locked="0"/>
    </xf>
    <xf numFmtId="0" fontId="51" fillId="0" borderId="9" xfId="0" applyFont="1" applyBorder="1" applyAlignment="1" applyProtection="1">
      <alignment horizontal="center" vertical="center"/>
      <protection locked="0"/>
    </xf>
    <xf numFmtId="165" fontId="49" fillId="0" borderId="9" xfId="36" applyNumberFormat="1" applyFont="1" applyFill="1" applyBorder="1" applyAlignment="1" applyProtection="1">
      <alignment horizontal="center" vertical="center"/>
      <protection locked="0"/>
    </xf>
    <xf numFmtId="166" fontId="53" fillId="33" borderId="9" xfId="36" applyNumberFormat="1" applyFont="1" applyFill="1" applyBorder="1" applyAlignment="1" applyProtection="1">
      <alignment horizontal="center" vertical="center"/>
      <protection locked="0"/>
    </xf>
    <xf numFmtId="166" fontId="51" fillId="33" borderId="9" xfId="36" applyNumberFormat="1" applyFont="1" applyFill="1" applyBorder="1" applyAlignment="1" applyProtection="1">
      <alignment horizontal="center" vertical="center"/>
      <protection locked="0"/>
    </xf>
    <xf numFmtId="0" fontId="49" fillId="35" borderId="12" xfId="0" applyFont="1" applyFill="1" applyBorder="1" applyAlignment="1" applyProtection="1">
      <alignment horizontal="center" vertical="center"/>
      <protection locked="0"/>
    </xf>
    <xf numFmtId="0" fontId="6" fillId="35" borderId="9" xfId="31" applyFill="1" applyBorder="1" applyAlignment="1" applyProtection="1">
      <alignment horizontal="center" vertical="center"/>
      <protection locked="0"/>
    </xf>
    <xf numFmtId="0" fontId="51" fillId="35" borderId="9" xfId="0" applyFont="1" applyFill="1" applyBorder="1" applyAlignment="1" applyProtection="1">
      <alignment horizontal="center" vertical="center"/>
      <protection locked="0"/>
    </xf>
    <xf numFmtId="0" fontId="49" fillId="35" borderId="9" xfId="0" applyFont="1" applyFill="1" applyBorder="1" applyAlignment="1" applyProtection="1">
      <alignment horizontal="center" vertical="center"/>
      <protection locked="0"/>
    </xf>
    <xf numFmtId="165" fontId="49" fillId="35" borderId="9" xfId="36" applyNumberFormat="1" applyFont="1" applyFill="1" applyBorder="1" applyAlignment="1" applyProtection="1">
      <alignment horizontal="center" vertical="center"/>
      <protection locked="0"/>
    </xf>
    <xf numFmtId="166" fontId="53" fillId="36" borderId="9" xfId="36" applyNumberFormat="1" applyFont="1" applyFill="1" applyBorder="1" applyAlignment="1" applyProtection="1">
      <alignment horizontal="center" vertical="center"/>
      <protection locked="0"/>
    </xf>
    <xf numFmtId="166" fontId="51" fillId="36" borderId="9" xfId="36" applyNumberFormat="1" applyFont="1" applyFill="1" applyBorder="1" applyAlignment="1" applyProtection="1">
      <alignment horizontal="center" vertical="center"/>
      <protection locked="0"/>
    </xf>
    <xf numFmtId="17" fontId="49" fillId="27" borderId="9" xfId="0" applyNumberFormat="1" applyFont="1" applyFill="1" applyBorder="1" applyAlignment="1" applyProtection="1">
      <alignment horizontal="center" vertical="center"/>
      <protection locked="0"/>
    </xf>
    <xf numFmtId="0" fontId="49" fillId="38" borderId="12" xfId="0" applyFont="1" applyFill="1" applyBorder="1" applyAlignment="1" applyProtection="1">
      <alignment horizontal="center" vertical="center"/>
      <protection locked="0"/>
    </xf>
    <xf numFmtId="0" fontId="6" fillId="38" borderId="9" xfId="31" applyFill="1" applyBorder="1" applyAlignment="1" applyProtection="1">
      <alignment horizontal="center" vertical="center"/>
      <protection locked="0"/>
    </xf>
    <xf numFmtId="0" fontId="51" fillId="38" borderId="9" xfId="0" applyFont="1" applyFill="1" applyBorder="1" applyAlignment="1" applyProtection="1">
      <alignment horizontal="center" vertical="center"/>
      <protection locked="0"/>
    </xf>
    <xf numFmtId="0" fontId="49" fillId="38" borderId="9" xfId="0" applyFont="1" applyFill="1" applyBorder="1" applyAlignment="1" applyProtection="1">
      <alignment horizontal="center" vertical="center"/>
      <protection locked="0"/>
    </xf>
    <xf numFmtId="165" fontId="49" fillId="38" borderId="9" xfId="36" applyNumberFormat="1" applyFont="1" applyFill="1" applyBorder="1" applyAlignment="1" applyProtection="1">
      <alignment horizontal="center" vertical="center"/>
      <protection locked="0"/>
    </xf>
    <xf numFmtId="166" fontId="53" fillId="38" borderId="9" xfId="36" applyNumberFormat="1" applyFont="1" applyFill="1" applyBorder="1" applyAlignment="1" applyProtection="1">
      <alignment horizontal="center" vertical="center"/>
      <protection locked="0"/>
    </xf>
    <xf numFmtId="166" fontId="51" fillId="38" borderId="9" xfId="36" applyNumberFormat="1" applyFont="1" applyFill="1" applyBorder="1" applyAlignment="1" applyProtection="1">
      <alignment horizontal="center" vertical="center"/>
      <protection locked="0"/>
    </xf>
    <xf numFmtId="0" fontId="49" fillId="40" borderId="12" xfId="0" applyFont="1" applyFill="1" applyBorder="1" applyAlignment="1" applyProtection="1">
      <alignment horizontal="center" vertical="center"/>
      <protection locked="0"/>
    </xf>
    <xf numFmtId="0" fontId="6" fillId="40" borderId="9" xfId="31" applyFill="1" applyBorder="1" applyAlignment="1" applyProtection="1">
      <alignment horizontal="center" vertical="center"/>
      <protection locked="0"/>
    </xf>
    <xf numFmtId="0" fontId="51" fillId="40" borderId="9" xfId="0" applyFont="1" applyFill="1" applyBorder="1" applyAlignment="1" applyProtection="1">
      <alignment horizontal="center" vertical="center"/>
      <protection locked="0"/>
    </xf>
    <xf numFmtId="0" fontId="49" fillId="40" borderId="9" xfId="0" applyFont="1" applyFill="1" applyBorder="1" applyAlignment="1" applyProtection="1">
      <alignment horizontal="center" vertical="center"/>
      <protection locked="0"/>
    </xf>
    <xf numFmtId="165" fontId="49" fillId="40" borderId="9" xfId="36" applyNumberFormat="1" applyFont="1" applyFill="1" applyBorder="1" applyAlignment="1" applyProtection="1">
      <alignment horizontal="center" vertical="center"/>
      <protection locked="0"/>
    </xf>
    <xf numFmtId="166" fontId="53" fillId="40" borderId="9" xfId="36" applyNumberFormat="1" applyFont="1" applyFill="1" applyBorder="1" applyAlignment="1" applyProtection="1">
      <alignment horizontal="center" vertical="center"/>
      <protection locked="0"/>
    </xf>
    <xf numFmtId="166" fontId="51" fillId="40" borderId="9" xfId="36" applyNumberFormat="1" applyFont="1" applyFill="1" applyBorder="1" applyAlignment="1" applyProtection="1">
      <alignment horizontal="center" vertical="center"/>
      <protection locked="0"/>
    </xf>
    <xf numFmtId="0" fontId="49" fillId="42" borderId="12" xfId="0" applyFont="1" applyFill="1" applyBorder="1" applyAlignment="1" applyProtection="1">
      <alignment horizontal="center" vertical="center"/>
      <protection locked="0"/>
    </xf>
    <xf numFmtId="0" fontId="6" fillId="42" borderId="9" xfId="31" applyFill="1" applyBorder="1" applyAlignment="1" applyProtection="1">
      <alignment horizontal="center" vertical="center"/>
      <protection locked="0"/>
    </xf>
    <xf numFmtId="0" fontId="51" fillId="42" borderId="9" xfId="0" applyFont="1" applyFill="1" applyBorder="1" applyAlignment="1" applyProtection="1">
      <alignment horizontal="center" vertical="center"/>
      <protection locked="0"/>
    </xf>
    <xf numFmtId="0" fontId="49" fillId="42" borderId="9" xfId="0" applyFont="1" applyFill="1" applyBorder="1" applyAlignment="1" applyProtection="1">
      <alignment horizontal="center" vertical="center"/>
      <protection locked="0"/>
    </xf>
    <xf numFmtId="165" fontId="49" fillId="42" borderId="9" xfId="36" applyNumberFormat="1" applyFont="1" applyFill="1" applyBorder="1" applyAlignment="1" applyProtection="1">
      <alignment horizontal="center" vertical="center"/>
      <protection locked="0"/>
    </xf>
    <xf numFmtId="17" fontId="49" fillId="42" borderId="9" xfId="0" applyNumberFormat="1" applyFont="1" applyFill="1" applyBorder="1" applyAlignment="1" applyProtection="1">
      <alignment horizontal="center" vertical="center"/>
      <protection locked="0"/>
    </xf>
    <xf numFmtId="0" fontId="6" fillId="27" borderId="9" xfId="31" applyFill="1" applyBorder="1" applyAlignment="1" applyProtection="1">
      <alignment vertical="center"/>
      <protection locked="0"/>
    </xf>
    <xf numFmtId="166" fontId="53" fillId="42" borderId="9" xfId="36" applyNumberFormat="1" applyFont="1" applyFill="1" applyBorder="1" applyAlignment="1" applyProtection="1">
      <alignment horizontal="center" vertical="center"/>
      <protection locked="0"/>
    </xf>
    <xf numFmtId="166" fontId="51" fillId="42" borderId="9" xfId="36" applyNumberFormat="1" applyFont="1" applyFill="1" applyBorder="1" applyAlignment="1" applyProtection="1">
      <alignment horizontal="center" vertical="center"/>
      <protection locked="0"/>
    </xf>
    <xf numFmtId="0" fontId="49" fillId="44" borderId="12" xfId="0" applyFont="1" applyFill="1" applyBorder="1" applyAlignment="1" applyProtection="1">
      <alignment horizontal="center" vertical="center"/>
      <protection locked="0"/>
    </xf>
    <xf numFmtId="0" fontId="6" fillId="44" borderId="9" xfId="31" applyFill="1" applyBorder="1" applyAlignment="1" applyProtection="1">
      <alignment horizontal="center" vertical="center"/>
      <protection locked="0"/>
    </xf>
    <xf numFmtId="0" fontId="51" fillId="44" borderId="9" xfId="0" applyFont="1" applyFill="1" applyBorder="1" applyAlignment="1" applyProtection="1">
      <alignment horizontal="center" vertical="center"/>
      <protection locked="0"/>
    </xf>
    <xf numFmtId="0" fontId="49" fillId="44" borderId="9" xfId="0" applyFont="1" applyFill="1" applyBorder="1" applyAlignment="1" applyProtection="1">
      <alignment horizontal="center" vertical="center"/>
      <protection locked="0"/>
    </xf>
    <xf numFmtId="165" fontId="49" fillId="44" borderId="9" xfId="36" applyNumberFormat="1" applyFont="1" applyFill="1" applyBorder="1" applyAlignment="1" applyProtection="1">
      <alignment horizontal="center" vertical="center"/>
      <protection locked="0"/>
    </xf>
    <xf numFmtId="166" fontId="53" fillId="44" borderId="9" xfId="36" applyNumberFormat="1" applyFont="1" applyFill="1" applyBorder="1" applyAlignment="1" applyProtection="1">
      <alignment horizontal="center" vertical="center"/>
      <protection locked="0"/>
    </xf>
    <xf numFmtId="166" fontId="51" fillId="44" borderId="9" xfId="36" applyNumberFormat="1" applyFont="1" applyFill="1" applyBorder="1" applyAlignment="1" applyProtection="1">
      <alignment horizontal="center" vertical="center"/>
      <protection locked="0"/>
    </xf>
    <xf numFmtId="166" fontId="53" fillId="0" borderId="12" xfId="36" applyNumberFormat="1" applyFont="1" applyFill="1" applyBorder="1" applyAlignment="1" applyProtection="1">
      <alignment horizontal="center" vertical="center"/>
      <protection locked="0"/>
    </xf>
    <xf numFmtId="166" fontId="53" fillId="44" borderId="12" xfId="36" applyNumberFormat="1" applyFont="1" applyFill="1" applyBorder="1" applyAlignment="1" applyProtection="1">
      <alignment horizontal="center" vertical="center"/>
      <protection locked="0"/>
    </xf>
    <xf numFmtId="0" fontId="5" fillId="46" borderId="12" xfId="0" applyFont="1" applyFill="1" applyBorder="1" applyAlignment="1" applyProtection="1">
      <alignment horizontal="center" vertical="center"/>
      <protection locked="0"/>
    </xf>
    <xf numFmtId="0" fontId="24" fillId="46" borderId="9" xfId="31" applyFont="1" applyFill="1" applyBorder="1" applyAlignment="1" applyProtection="1">
      <alignment horizontal="center" vertical="center" wrapText="1"/>
      <protection locked="0"/>
    </xf>
    <xf numFmtId="0" fontId="9" fillId="46" borderId="9" xfId="0" applyFont="1" applyFill="1" applyBorder="1" applyAlignment="1" applyProtection="1">
      <alignment horizontal="center" vertical="center"/>
      <protection locked="0"/>
    </xf>
    <xf numFmtId="0" fontId="5" fillId="46" borderId="9" xfId="0" applyFont="1" applyFill="1" applyBorder="1" applyAlignment="1" applyProtection="1">
      <alignment horizontal="center" vertical="center"/>
      <protection locked="0"/>
    </xf>
    <xf numFmtId="165" fontId="5" fillId="46" borderId="9" xfId="36" applyNumberFormat="1" applyFont="1" applyFill="1" applyBorder="1" applyAlignment="1" applyProtection="1">
      <alignment horizontal="center" vertical="center"/>
      <protection locked="0"/>
    </xf>
    <xf numFmtId="0" fontId="9" fillId="0" borderId="9" xfId="0" applyFont="1" applyBorder="1" applyAlignment="1" applyProtection="1">
      <alignment horizontal="center" vertical="center"/>
      <protection locked="0"/>
    </xf>
    <xf numFmtId="49" fontId="9" fillId="46" borderId="9" xfId="0" applyNumberFormat="1" applyFont="1" applyFill="1" applyBorder="1" applyAlignment="1" applyProtection="1">
      <alignment horizontal="center" vertical="center"/>
      <protection locked="0"/>
    </xf>
    <xf numFmtId="49" fontId="5" fillId="27" borderId="9" xfId="0" applyNumberFormat="1" applyFont="1" applyFill="1" applyBorder="1" applyAlignment="1" applyProtection="1">
      <alignment horizontal="center" vertical="center"/>
      <protection locked="0"/>
    </xf>
    <xf numFmtId="165" fontId="5" fillId="27" borderId="9" xfId="36" applyNumberFormat="1" applyFont="1" applyFill="1" applyBorder="1" applyAlignment="1" applyProtection="1">
      <alignment horizontal="center" vertical="center"/>
      <protection locked="0"/>
    </xf>
    <xf numFmtId="166" fontId="53" fillId="46" borderId="9" xfId="36" applyNumberFormat="1" applyFont="1" applyFill="1" applyBorder="1" applyAlignment="1" applyProtection="1">
      <alignment horizontal="center" vertical="center"/>
      <protection locked="0"/>
    </xf>
    <xf numFmtId="166" fontId="51" fillId="46" borderId="9" xfId="36" applyNumberFormat="1" applyFont="1" applyFill="1" applyBorder="1" applyAlignment="1" applyProtection="1">
      <alignment horizontal="center" vertical="center"/>
      <protection locked="0"/>
    </xf>
    <xf numFmtId="166" fontId="55" fillId="46" borderId="9" xfId="36" applyNumberFormat="1" applyFont="1" applyFill="1" applyBorder="1" applyAlignment="1" applyProtection="1">
      <alignment horizontal="center" vertical="center"/>
      <protection locked="0"/>
    </xf>
    <xf numFmtId="166" fontId="53" fillId="47" borderId="9" xfId="36" applyNumberFormat="1" applyFont="1" applyFill="1" applyBorder="1" applyAlignment="1" applyProtection="1">
      <alignment horizontal="center" vertical="center"/>
      <protection locked="0"/>
    </xf>
    <xf numFmtId="0" fontId="52" fillId="0" borderId="9" xfId="31" applyFont="1" applyFill="1" applyBorder="1" applyAlignment="1" applyProtection="1">
      <alignment horizontal="center" vertical="center"/>
      <protection locked="0"/>
    </xf>
    <xf numFmtId="0" fontId="52" fillId="27" borderId="9" xfId="31" applyFont="1" applyFill="1" applyBorder="1" applyAlignment="1" applyProtection="1">
      <alignment horizontal="center" vertical="center"/>
      <protection locked="0"/>
    </xf>
    <xf numFmtId="0" fontId="49" fillId="36" borderId="9" xfId="0" applyFont="1" applyFill="1" applyBorder="1" applyAlignment="1" applyProtection="1">
      <alignment horizontal="center" vertical="center"/>
      <protection locked="0"/>
    </xf>
    <xf numFmtId="0" fontId="49" fillId="36" borderId="12" xfId="0" applyFont="1" applyFill="1" applyBorder="1" applyAlignment="1" applyProtection="1">
      <alignment horizontal="center" vertical="center"/>
      <protection locked="0"/>
    </xf>
    <xf numFmtId="165" fontId="49" fillId="36" borderId="9" xfId="36" applyNumberFormat="1" applyFont="1" applyFill="1" applyBorder="1" applyAlignment="1" applyProtection="1">
      <alignment horizontal="center" vertical="center"/>
      <protection locked="0"/>
    </xf>
    <xf numFmtId="17" fontId="49" fillId="36" borderId="9" xfId="0" applyNumberFormat="1" applyFont="1" applyFill="1" applyBorder="1" applyAlignment="1" applyProtection="1">
      <alignment horizontal="center" vertical="center"/>
      <protection locked="0"/>
    </xf>
    <xf numFmtId="17" fontId="49" fillId="0" borderId="9" xfId="0" applyNumberFormat="1" applyFont="1" applyBorder="1" applyAlignment="1" applyProtection="1">
      <alignment horizontal="center" vertical="center"/>
      <protection locked="0"/>
    </xf>
    <xf numFmtId="0" fontId="52" fillId="36" borderId="9" xfId="31" applyFont="1" applyFill="1" applyBorder="1" applyAlignment="1" applyProtection="1">
      <alignment horizontal="center" vertical="center"/>
      <protection locked="0"/>
    </xf>
    <xf numFmtId="0" fontId="51" fillId="36" borderId="9" xfId="0" applyFont="1" applyFill="1" applyBorder="1" applyAlignment="1" applyProtection="1">
      <alignment horizontal="center" vertical="center"/>
      <protection locked="0"/>
    </xf>
    <xf numFmtId="0" fontId="6" fillId="31" borderId="9" xfId="31" applyFill="1" applyBorder="1" applyAlignment="1" applyProtection="1">
      <alignment horizontal="center" vertical="center"/>
      <protection locked="0"/>
    </xf>
    <xf numFmtId="0" fontId="52" fillId="31" borderId="9" xfId="31" applyFont="1" applyFill="1" applyBorder="1" applyAlignment="1" applyProtection="1">
      <alignment horizontal="center" vertical="center"/>
      <protection locked="0"/>
    </xf>
    <xf numFmtId="0" fontId="6" fillId="46" borderId="9" xfId="31" applyFill="1" applyBorder="1" applyAlignment="1" applyProtection="1">
      <alignment horizontal="center" vertical="center" wrapText="1"/>
      <protection locked="0"/>
    </xf>
    <xf numFmtId="0" fontId="47" fillId="25" borderId="0" xfId="0" applyFont="1" applyFill="1" applyAlignment="1">
      <alignment horizontal="center" vertical="top" wrapText="1"/>
    </xf>
    <xf numFmtId="0" fontId="5" fillId="0" borderId="9" xfId="0" applyFont="1" applyBorder="1" applyAlignment="1" applyProtection="1">
      <alignment horizontal="center" vertical="center" wrapText="1"/>
      <protection locked="0"/>
    </xf>
    <xf numFmtId="0" fontId="24" fillId="47" borderId="9" xfId="31" applyFont="1" applyFill="1" applyBorder="1" applyAlignment="1" applyProtection="1">
      <alignment horizontal="center" vertical="center" wrapText="1"/>
      <protection locked="0"/>
    </xf>
    <xf numFmtId="0" fontId="9" fillId="47" borderId="9" xfId="0" applyFont="1" applyFill="1" applyBorder="1" applyAlignment="1" applyProtection="1">
      <alignment horizontal="center" vertical="center"/>
      <protection locked="0"/>
    </xf>
    <xf numFmtId="0" fontId="5" fillId="47" borderId="9" xfId="0" applyFont="1" applyFill="1" applyBorder="1" applyAlignment="1" applyProtection="1">
      <alignment horizontal="center" vertical="center"/>
      <protection locked="0"/>
    </xf>
    <xf numFmtId="165" fontId="5" fillId="47" borderId="9" xfId="36" applyNumberFormat="1" applyFont="1" applyFill="1" applyBorder="1" applyAlignment="1" applyProtection="1">
      <alignment horizontal="center" vertical="center"/>
      <protection locked="0"/>
    </xf>
    <xf numFmtId="166" fontId="51" fillId="47" borderId="9" xfId="36" applyNumberFormat="1" applyFont="1" applyFill="1" applyBorder="1" applyAlignment="1" applyProtection="1">
      <alignment horizontal="center" vertical="center"/>
      <protection locked="0"/>
    </xf>
    <xf numFmtId="0" fontId="5" fillId="47" borderId="12" xfId="0" applyFont="1" applyFill="1" applyBorder="1" applyAlignment="1" applyProtection="1">
      <alignment horizontal="center" vertical="center"/>
      <protection locked="0"/>
    </xf>
    <xf numFmtId="49" fontId="9" fillId="47" borderId="9" xfId="0" applyNumberFormat="1" applyFont="1" applyFill="1" applyBorder="1" applyAlignment="1" applyProtection="1">
      <alignment horizontal="center" vertical="center"/>
      <protection locked="0"/>
    </xf>
    <xf numFmtId="165" fontId="9" fillId="0" borderId="9" xfId="36" applyNumberFormat="1" applyFont="1" applyFill="1" applyBorder="1" applyAlignment="1" applyProtection="1">
      <alignment horizontal="center" vertical="center"/>
      <protection locked="0"/>
    </xf>
    <xf numFmtId="3" fontId="5" fillId="47" borderId="9" xfId="0" applyNumberFormat="1" applyFont="1" applyFill="1" applyBorder="1" applyAlignment="1" applyProtection="1">
      <alignment horizontal="center" vertical="center"/>
      <protection locked="0"/>
    </xf>
    <xf numFmtId="0" fontId="51" fillId="47" borderId="9" xfId="0" applyFont="1" applyFill="1" applyBorder="1" applyAlignment="1" applyProtection="1">
      <alignment horizontal="center" vertical="center"/>
      <protection locked="0"/>
    </xf>
    <xf numFmtId="49" fontId="60" fillId="27" borderId="9" xfId="31" applyNumberFormat="1" applyFont="1" applyFill="1" applyBorder="1" applyAlignment="1" applyProtection="1">
      <alignment horizontal="center" vertical="center"/>
      <protection locked="0"/>
    </xf>
    <xf numFmtId="0" fontId="61" fillId="0" borderId="0" xfId="0" applyFont="1" applyAlignment="1">
      <alignment horizontal="center" vertical="top" wrapText="1"/>
    </xf>
    <xf numFmtId="49" fontId="41" fillId="0" borderId="0" xfId="0" applyNumberFormat="1" applyFont="1" applyAlignment="1">
      <alignment vertical="center" shrinkToFit="1"/>
    </xf>
    <xf numFmtId="0" fontId="28" fillId="25" borderId="0" xfId="0" applyFont="1" applyFill="1" applyAlignment="1">
      <alignment vertical="center" shrinkToFit="1"/>
    </xf>
    <xf numFmtId="49" fontId="62" fillId="25" borderId="0" xfId="0" applyNumberFormat="1" applyFont="1" applyFill="1" applyAlignment="1">
      <alignment horizontal="center" vertical="center" shrinkToFit="1"/>
    </xf>
    <xf numFmtId="0" fontId="28" fillId="25" borderId="0" xfId="0" applyFont="1" applyFill="1" applyAlignment="1">
      <alignment vertical="center" wrapText="1"/>
    </xf>
    <xf numFmtId="170" fontId="0" fillId="0" borderId="0" xfId="0" applyNumberFormat="1"/>
    <xf numFmtId="0" fontId="5" fillId="48" borderId="0" xfId="0" applyFont="1" applyFill="1" applyAlignment="1" applyProtection="1">
      <alignment horizontal="center" vertical="center"/>
      <protection locked="0"/>
    </xf>
    <xf numFmtId="49" fontId="63" fillId="48" borderId="9" xfId="31" applyNumberFormat="1" applyFont="1" applyFill="1" applyBorder="1" applyAlignment="1" applyProtection="1">
      <alignment horizontal="center" vertical="center"/>
      <protection locked="0"/>
    </xf>
    <xf numFmtId="49" fontId="9" fillId="48" borderId="9" xfId="0" applyNumberFormat="1" applyFont="1" applyFill="1" applyBorder="1" applyAlignment="1" applyProtection="1">
      <alignment horizontal="center" vertical="center"/>
      <protection locked="0"/>
    </xf>
    <xf numFmtId="0" fontId="5" fillId="48" borderId="9" xfId="0" applyFont="1" applyFill="1" applyBorder="1" applyAlignment="1" applyProtection="1">
      <alignment horizontal="center" vertical="center"/>
      <protection locked="0"/>
    </xf>
    <xf numFmtId="170" fontId="59" fillId="0" borderId="0" xfId="0" applyNumberFormat="1" applyFont="1"/>
    <xf numFmtId="0" fontId="59" fillId="27" borderId="0" xfId="0" applyFont="1" applyFill="1"/>
    <xf numFmtId="0" fontId="59" fillId="0" borderId="0" xfId="0" applyFont="1"/>
    <xf numFmtId="49" fontId="6" fillId="48" borderId="9" xfId="31" applyNumberFormat="1" applyFill="1" applyBorder="1" applyAlignment="1" applyProtection="1">
      <alignment horizontal="center" vertical="center"/>
      <protection locked="0"/>
    </xf>
    <xf numFmtId="49" fontId="63" fillId="0" borderId="9" xfId="31" applyNumberFormat="1" applyFont="1" applyFill="1" applyBorder="1" applyAlignment="1" applyProtection="1">
      <alignment horizontal="center" vertical="center"/>
      <protection locked="0"/>
    </xf>
    <xf numFmtId="0" fontId="31" fillId="0" borderId="9" xfId="31" applyFont="1" applyFill="1" applyBorder="1" applyAlignment="1" applyProtection="1">
      <alignment horizontal="center" vertical="center" wrapText="1"/>
      <protection locked="0"/>
    </xf>
    <xf numFmtId="0" fontId="54" fillId="47" borderId="9" xfId="31" applyFont="1" applyFill="1" applyBorder="1" applyAlignment="1" applyProtection="1">
      <alignment horizontal="center" vertical="center" wrapText="1"/>
      <protection locked="0"/>
    </xf>
    <xf numFmtId="49" fontId="24" fillId="0" borderId="9" xfId="31" applyNumberFormat="1" applyFont="1" applyFill="1" applyBorder="1" applyAlignment="1" applyProtection="1">
      <alignment horizontal="center" vertical="center"/>
      <protection locked="0"/>
    </xf>
    <xf numFmtId="49" fontId="6" fillId="47" borderId="9" xfId="31" applyNumberFormat="1" applyFill="1" applyBorder="1" applyAlignment="1" applyProtection="1">
      <alignment horizontal="center" vertical="center"/>
      <protection locked="0"/>
    </xf>
    <xf numFmtId="0" fontId="51" fillId="0" borderId="12" xfId="0" applyFont="1" applyBorder="1" applyAlignment="1" applyProtection="1">
      <alignment horizontal="center" vertical="center"/>
      <protection locked="0"/>
    </xf>
    <xf numFmtId="0" fontId="51" fillId="0" borderId="8" xfId="0" applyFont="1" applyBorder="1" applyAlignment="1" applyProtection="1">
      <alignment horizontal="center" vertical="center"/>
      <protection locked="0"/>
    </xf>
    <xf numFmtId="167" fontId="50" fillId="0" borderId="0" xfId="0" applyNumberFormat="1" applyFont="1" applyAlignment="1">
      <alignment vertical="center"/>
    </xf>
    <xf numFmtId="0" fontId="0" fillId="24" borderId="0" xfId="0" applyFill="1" applyAlignment="1">
      <alignment horizontal="left" vertical="top" wrapText="1"/>
    </xf>
    <xf numFmtId="0" fontId="34" fillId="26" borderId="0" xfId="0" applyFont="1" applyFill="1" applyAlignment="1">
      <alignment horizontal="center" vertical="center" wrapText="1"/>
    </xf>
    <xf numFmtId="9" fontId="34" fillId="26" borderId="0" xfId="46" applyFont="1" applyFill="1" applyAlignment="1">
      <alignment horizontal="center" vertical="distributed"/>
    </xf>
    <xf numFmtId="0" fontId="0" fillId="24" borderId="0" xfId="0" applyFill="1" applyAlignment="1">
      <alignment horizontal="center" vertical="center" wrapText="1"/>
    </xf>
    <xf numFmtId="0" fontId="5" fillId="0" borderId="9" xfId="0" applyFont="1" applyBorder="1" applyAlignment="1" applyProtection="1">
      <alignment horizontal="center" vertical="center"/>
      <protection locked="0"/>
    </xf>
    <xf numFmtId="0" fontId="9" fillId="0" borderId="9" xfId="0" applyFont="1" applyBorder="1" applyAlignment="1" applyProtection="1">
      <alignment horizontal="center" vertical="center"/>
      <protection locked="0"/>
    </xf>
    <xf numFmtId="0" fontId="24" fillId="0" borderId="9" xfId="31" applyFont="1" applyFill="1" applyBorder="1" applyAlignment="1" applyProtection="1">
      <alignment horizontal="center" vertical="center" wrapText="1"/>
      <protection locked="0"/>
    </xf>
    <xf numFmtId="0" fontId="5" fillId="0" borderId="12" xfId="0" applyFont="1" applyBorder="1" applyAlignment="1" applyProtection="1">
      <alignment horizontal="center" vertical="center"/>
      <protection locked="0"/>
    </xf>
    <xf numFmtId="0" fontId="31" fillId="0" borderId="9" xfId="31" applyFont="1" applyFill="1" applyBorder="1" applyAlignment="1" applyProtection="1">
      <alignment horizontal="center" vertical="center" wrapText="1"/>
      <protection locked="0"/>
    </xf>
    <xf numFmtId="165" fontId="5" fillId="0" borderId="9" xfId="36" applyNumberFormat="1" applyFont="1" applyFill="1" applyBorder="1" applyAlignment="1" applyProtection="1">
      <alignment horizontal="center" vertical="center"/>
      <protection locked="0"/>
    </xf>
    <xf numFmtId="0" fontId="5" fillId="46" borderId="12" xfId="0" applyFont="1" applyFill="1" applyBorder="1" applyAlignment="1" applyProtection="1">
      <alignment horizontal="center" vertical="center"/>
      <protection locked="0"/>
    </xf>
    <xf numFmtId="0" fontId="24" fillId="46" borderId="9" xfId="31" applyFont="1" applyFill="1" applyBorder="1" applyAlignment="1" applyProtection="1">
      <alignment horizontal="center" vertical="center" wrapText="1"/>
      <protection locked="0"/>
    </xf>
    <xf numFmtId="0" fontId="9" fillId="46" borderId="9" xfId="0" applyFont="1" applyFill="1" applyBorder="1" applyAlignment="1" applyProtection="1">
      <alignment horizontal="center" vertical="center"/>
      <protection locked="0"/>
    </xf>
    <xf numFmtId="0" fontId="5" fillId="46" borderId="9" xfId="0" applyFont="1" applyFill="1" applyBorder="1" applyAlignment="1" applyProtection="1">
      <alignment horizontal="center" vertical="center"/>
      <protection locked="0"/>
    </xf>
    <xf numFmtId="165" fontId="5" fillId="46" borderId="9" xfId="36" applyNumberFormat="1" applyFont="1" applyFill="1" applyBorder="1" applyAlignment="1" applyProtection="1">
      <alignment horizontal="center" vertical="center"/>
      <protection locked="0"/>
    </xf>
    <xf numFmtId="0" fontId="24" fillId="0" borderId="9" xfId="31" applyFont="1" applyFill="1" applyBorder="1" applyAlignment="1">
      <alignment horizontal="center" vertical="center" wrapText="1"/>
      <protection locked="0"/>
    </xf>
    <xf numFmtId="169" fontId="33" fillId="0" borderId="8" xfId="34" applyNumberFormat="1" applyFont="1" applyFill="1" applyBorder="1" applyAlignment="1" applyProtection="1">
      <alignment horizontal="center" vertical="center"/>
      <protection locked="0"/>
    </xf>
    <xf numFmtId="169" fontId="33" fillId="0" borderId="0" xfId="34" applyNumberFormat="1" applyFont="1" applyFill="1" applyBorder="1" applyAlignment="1" applyProtection="1">
      <alignment horizontal="center" vertical="center"/>
      <protection locked="0"/>
    </xf>
    <xf numFmtId="169" fontId="33" fillId="0" borderId="12" xfId="34" applyNumberFormat="1" applyFont="1" applyFill="1" applyBorder="1" applyAlignment="1" applyProtection="1">
      <alignment horizontal="center" vertical="center"/>
      <protection locked="0"/>
    </xf>
    <xf numFmtId="169" fontId="33" fillId="49" borderId="8" xfId="34" applyNumberFormat="1" applyFont="1" applyFill="1" applyBorder="1" applyAlignment="1" applyProtection="1">
      <alignment horizontal="center" vertical="center"/>
      <protection locked="0"/>
    </xf>
    <xf numFmtId="169" fontId="33" fillId="49" borderId="0" xfId="34" applyNumberFormat="1" applyFont="1" applyFill="1" applyBorder="1" applyAlignment="1" applyProtection="1">
      <alignment horizontal="center" vertical="center"/>
      <protection locked="0"/>
    </xf>
    <xf numFmtId="169" fontId="33" fillId="49" borderId="12" xfId="34" applyNumberFormat="1" applyFont="1" applyFill="1" applyBorder="1" applyAlignment="1" applyProtection="1">
      <alignment horizontal="center" vertical="center"/>
      <protection locked="0"/>
    </xf>
    <xf numFmtId="0" fontId="5" fillId="48" borderId="12" xfId="0" applyFont="1" applyFill="1" applyBorder="1" applyAlignment="1" applyProtection="1">
      <alignment horizontal="center" vertical="center"/>
      <protection locked="0"/>
    </xf>
    <xf numFmtId="49" fontId="6" fillId="0" borderId="9" xfId="31" applyNumberFormat="1" applyFill="1" applyBorder="1" applyAlignment="1" applyProtection="1">
      <alignment horizontal="center" vertical="center"/>
      <protection locked="0"/>
    </xf>
    <xf numFmtId="49" fontId="9" fillId="0" borderId="9" xfId="0" applyNumberFormat="1" applyFont="1" applyBorder="1" applyAlignment="1" applyProtection="1">
      <alignment horizontal="center" vertical="center"/>
      <protection locked="0"/>
    </xf>
    <xf numFmtId="49" fontId="63" fillId="48" borderId="9" xfId="31" applyNumberFormat="1" applyFont="1" applyFill="1" applyBorder="1" applyAlignment="1" applyProtection="1">
      <alignment horizontal="center" vertical="center"/>
      <protection locked="0"/>
    </xf>
    <xf numFmtId="49" fontId="9" fillId="48" borderId="9" xfId="0" applyNumberFormat="1" applyFont="1" applyFill="1" applyBorder="1" applyAlignment="1" applyProtection="1">
      <alignment horizontal="center" vertical="center"/>
      <protection locked="0"/>
    </xf>
    <xf numFmtId="0" fontId="5" fillId="48" borderId="9" xfId="0" applyFont="1" applyFill="1" applyBorder="1" applyAlignment="1" applyProtection="1">
      <alignment horizontal="center" vertical="center"/>
      <protection locked="0"/>
    </xf>
    <xf numFmtId="0" fontId="61" fillId="25" borderId="0" xfId="0" applyFont="1" applyFill="1" applyAlignment="1">
      <alignment horizontal="center" vertical="top" wrapText="1"/>
    </xf>
    <xf numFmtId="49" fontId="41" fillId="25" borderId="0" xfId="0" applyNumberFormat="1" applyFont="1" applyFill="1" applyAlignment="1">
      <alignment horizontal="center" vertical="center" shrinkToFit="1"/>
    </xf>
    <xf numFmtId="169" fontId="33" fillId="48" borderId="8" xfId="34" applyNumberFormat="1" applyFont="1" applyFill="1" applyBorder="1" applyAlignment="1" applyProtection="1">
      <alignment horizontal="center" vertical="center"/>
      <protection locked="0"/>
    </xf>
    <xf numFmtId="169" fontId="33" fillId="48" borderId="0" xfId="34" applyNumberFormat="1" applyFont="1" applyFill="1" applyBorder="1" applyAlignment="1" applyProtection="1">
      <alignment horizontal="center" vertical="center"/>
      <protection locked="0"/>
    </xf>
    <xf numFmtId="169" fontId="33" fillId="48" borderId="12" xfId="34" applyNumberFormat="1" applyFont="1" applyFill="1" applyBorder="1" applyAlignment="1" applyProtection="1">
      <alignment horizontal="center" vertical="center"/>
      <protection locked="0"/>
    </xf>
    <xf numFmtId="0" fontId="49" fillId="44" borderId="12" xfId="0" applyFont="1" applyFill="1" applyBorder="1" applyAlignment="1" applyProtection="1">
      <alignment horizontal="center" vertical="center"/>
      <protection locked="0"/>
    </xf>
    <xf numFmtId="0" fontId="49" fillId="44" borderId="9" xfId="0" applyFont="1" applyFill="1" applyBorder="1" applyAlignment="1" applyProtection="1">
      <alignment horizontal="center" vertical="center"/>
      <protection locked="0"/>
    </xf>
    <xf numFmtId="165" fontId="49" fillId="44" borderId="9" xfId="36" applyNumberFormat="1" applyFont="1" applyFill="1" applyBorder="1" applyAlignment="1" applyProtection="1">
      <alignment horizontal="center" vertical="center"/>
      <protection locked="0"/>
    </xf>
    <xf numFmtId="0" fontId="49" fillId="0" borderId="9" xfId="0" applyFont="1" applyBorder="1" applyAlignment="1" applyProtection="1">
      <alignment horizontal="center" vertical="center"/>
      <protection locked="0"/>
    </xf>
    <xf numFmtId="165" fontId="49" fillId="0" borderId="9" xfId="36" applyNumberFormat="1" applyFont="1" applyFill="1" applyBorder="1" applyAlignment="1" applyProtection="1">
      <alignment horizontal="center" vertical="center"/>
      <protection locked="0"/>
    </xf>
    <xf numFmtId="0" fontId="52" fillId="44" borderId="9" xfId="31" applyFont="1" applyFill="1" applyBorder="1" applyAlignment="1" applyProtection="1">
      <alignment horizontal="center" vertical="center"/>
      <protection locked="0"/>
    </xf>
    <xf numFmtId="0" fontId="52" fillId="0" borderId="9" xfId="31" applyFont="1" applyFill="1" applyBorder="1" applyAlignment="1" applyProtection="1">
      <alignment horizontal="center" vertical="center"/>
      <protection locked="0"/>
    </xf>
    <xf numFmtId="0" fontId="51" fillId="44" borderId="9" xfId="0" applyFont="1" applyFill="1" applyBorder="1" applyAlignment="1" applyProtection="1">
      <alignment horizontal="center" vertical="center"/>
      <protection locked="0"/>
    </xf>
    <xf numFmtId="0" fontId="51" fillId="0" borderId="9" xfId="0" applyFont="1" applyBorder="1" applyAlignment="1" applyProtection="1">
      <alignment horizontal="center" vertical="center"/>
      <protection locked="0"/>
    </xf>
    <xf numFmtId="0" fontId="49" fillId="0" borderId="12" xfId="0" applyFont="1" applyBorder="1" applyAlignment="1" applyProtection="1">
      <alignment horizontal="center" vertical="center"/>
      <protection locked="0"/>
    </xf>
    <xf numFmtId="0" fontId="49" fillId="27" borderId="9" xfId="0" applyFont="1" applyFill="1" applyBorder="1" applyAlignment="1" applyProtection="1">
      <alignment horizontal="center" vertical="center"/>
      <protection locked="0"/>
    </xf>
    <xf numFmtId="165" fontId="49" fillId="27" borderId="9" xfId="36" applyNumberFormat="1" applyFont="1" applyFill="1" applyBorder="1" applyAlignment="1" applyProtection="1">
      <alignment horizontal="center" vertical="center"/>
      <protection locked="0"/>
    </xf>
    <xf numFmtId="0" fontId="50" fillId="34" borderId="0" xfId="0" applyFont="1" applyFill="1" applyAlignment="1">
      <alignment horizontal="center" vertical="center"/>
    </xf>
    <xf numFmtId="0" fontId="49" fillId="35" borderId="9" xfId="0" applyFont="1" applyFill="1" applyBorder="1" applyAlignment="1" applyProtection="1">
      <alignment horizontal="center" vertical="center"/>
      <protection locked="0"/>
    </xf>
    <xf numFmtId="0" fontId="51" fillId="35" borderId="9" xfId="0" applyFont="1" applyFill="1" applyBorder="1" applyAlignment="1" applyProtection="1">
      <alignment horizontal="center" vertical="center"/>
      <protection locked="0"/>
    </xf>
    <xf numFmtId="0" fontId="52" fillId="35" borderId="9" xfId="31" applyFont="1" applyFill="1" applyBorder="1" applyAlignment="1" applyProtection="1">
      <alignment horizontal="center" vertical="center"/>
      <protection locked="0"/>
    </xf>
    <xf numFmtId="0" fontId="49" fillId="35" borderId="12" xfId="0" applyFont="1" applyFill="1" applyBorder="1" applyAlignment="1" applyProtection="1">
      <alignment horizontal="center" vertical="center"/>
      <protection locked="0"/>
    </xf>
    <xf numFmtId="165" fontId="49" fillId="35" borderId="9" xfId="36" applyNumberFormat="1" applyFont="1" applyFill="1" applyBorder="1" applyAlignment="1" applyProtection="1">
      <alignment horizontal="center" vertical="center"/>
      <protection locked="0"/>
    </xf>
    <xf numFmtId="0" fontId="49" fillId="33" borderId="12" xfId="0" applyFont="1" applyFill="1" applyBorder="1" applyAlignment="1" applyProtection="1">
      <alignment horizontal="center" vertical="center"/>
      <protection locked="0"/>
    </xf>
    <xf numFmtId="0" fontId="52" fillId="33" borderId="9" xfId="31" applyFont="1" applyFill="1" applyBorder="1" applyAlignment="1" applyProtection="1">
      <alignment horizontal="center" vertical="center"/>
      <protection locked="0"/>
    </xf>
    <xf numFmtId="0" fontId="51" fillId="33" borderId="9" xfId="0" applyFont="1" applyFill="1" applyBorder="1" applyAlignment="1" applyProtection="1">
      <alignment horizontal="center" vertical="center"/>
      <protection locked="0"/>
    </xf>
    <xf numFmtId="0" fontId="49" fillId="33" borderId="9" xfId="0" applyFont="1" applyFill="1" applyBorder="1" applyAlignment="1" applyProtection="1">
      <alignment horizontal="center" vertical="center"/>
      <protection locked="0"/>
    </xf>
    <xf numFmtId="165" fontId="49" fillId="33" borderId="9" xfId="36" applyNumberFormat="1" applyFont="1" applyFill="1" applyBorder="1" applyAlignment="1" applyProtection="1">
      <alignment horizontal="center" vertical="center"/>
      <protection locked="0"/>
    </xf>
    <xf numFmtId="0" fontId="49" fillId="27" borderId="12" xfId="0" applyFont="1" applyFill="1" applyBorder="1" applyAlignment="1" applyProtection="1">
      <alignment horizontal="center" vertical="center"/>
      <protection locked="0"/>
    </xf>
    <xf numFmtId="0" fontId="52" fillId="27" borderId="9" xfId="31" applyFont="1" applyFill="1" applyBorder="1" applyAlignment="1" applyProtection="1">
      <alignment horizontal="center" vertical="center"/>
      <protection locked="0"/>
    </xf>
    <xf numFmtId="0" fontId="51" fillId="27" borderId="9" xfId="0" applyFont="1" applyFill="1" applyBorder="1" applyAlignment="1" applyProtection="1">
      <alignment horizontal="center" vertical="center"/>
      <protection locked="0"/>
    </xf>
    <xf numFmtId="0" fontId="6" fillId="0" borderId="9" xfId="31" applyFill="1" applyBorder="1" applyAlignment="1" applyProtection="1">
      <alignment horizontal="center" vertical="center"/>
      <protection locked="0"/>
    </xf>
    <xf numFmtId="0" fontId="6" fillId="44" borderId="9" xfId="31" applyFill="1" applyBorder="1" applyAlignment="1" applyProtection="1">
      <alignment horizontal="center" vertical="center"/>
      <protection locked="0"/>
    </xf>
    <xf numFmtId="0" fontId="48" fillId="45" borderId="0" xfId="0" applyFont="1" applyFill="1" applyAlignment="1" applyProtection="1">
      <alignment horizontal="center" vertical="center"/>
      <protection locked="0"/>
    </xf>
    <xf numFmtId="0" fontId="50" fillId="43" borderId="0" xfId="0" applyFont="1" applyFill="1" applyAlignment="1">
      <alignment horizontal="center" vertical="center"/>
    </xf>
    <xf numFmtId="0" fontId="49" fillId="42" borderId="12" xfId="0" applyFont="1" applyFill="1" applyBorder="1" applyAlignment="1" applyProtection="1">
      <alignment horizontal="center" vertical="center"/>
      <protection locked="0"/>
    </xf>
    <xf numFmtId="0" fontId="6" fillId="42" borderId="9" xfId="31" applyFill="1" applyBorder="1" applyAlignment="1" applyProtection="1">
      <alignment horizontal="center" vertical="center"/>
      <protection locked="0"/>
    </xf>
    <xf numFmtId="0" fontId="51" fillId="42" borderId="9" xfId="0" applyFont="1" applyFill="1" applyBorder="1" applyAlignment="1" applyProtection="1">
      <alignment horizontal="center" vertical="center"/>
      <protection locked="0"/>
    </xf>
    <xf numFmtId="0" fontId="49" fillId="42" borderId="9" xfId="0" applyFont="1" applyFill="1" applyBorder="1" applyAlignment="1" applyProtection="1">
      <alignment horizontal="center" vertical="center"/>
      <protection locked="0"/>
    </xf>
    <xf numFmtId="165" fontId="49" fillId="42" borderId="9" xfId="36" applyNumberFormat="1" applyFont="1" applyFill="1" applyBorder="1" applyAlignment="1" applyProtection="1">
      <alignment horizontal="center" vertical="center"/>
      <protection locked="0"/>
    </xf>
    <xf numFmtId="0" fontId="6" fillId="27" borderId="9" xfId="31" applyFill="1" applyBorder="1" applyAlignment="1" applyProtection="1">
      <alignment horizontal="center" vertical="center"/>
      <protection locked="0"/>
    </xf>
    <xf numFmtId="0" fontId="50" fillId="37" borderId="0" xfId="0" applyFont="1" applyFill="1" applyAlignment="1">
      <alignment horizontal="center" vertical="center"/>
    </xf>
    <xf numFmtId="0" fontId="50" fillId="39" borderId="0" xfId="0" applyFont="1" applyFill="1" applyAlignment="1">
      <alignment horizontal="center" vertical="center"/>
    </xf>
    <xf numFmtId="0" fontId="50" fillId="41" borderId="0" xfId="0" applyFont="1" applyFill="1" applyAlignment="1">
      <alignment horizontal="center" vertical="center"/>
    </xf>
    <xf numFmtId="0" fontId="6" fillId="35" borderId="9" xfId="31" applyFill="1" applyBorder="1" applyAlignment="1" applyProtection="1">
      <alignment horizontal="center" vertical="center"/>
      <protection locked="0"/>
    </xf>
    <xf numFmtId="0" fontId="47" fillId="25" borderId="0" xfId="0" applyFont="1" applyFill="1" applyAlignment="1">
      <alignment horizontal="center" vertical="top" wrapText="1"/>
    </xf>
    <xf numFmtId="3" fontId="5" fillId="0" borderId="9" xfId="0" applyNumberFormat="1" applyFont="1" applyBorder="1" applyAlignment="1" applyProtection="1">
      <alignment horizontal="center" vertical="center"/>
      <protection locked="0"/>
    </xf>
    <xf numFmtId="0" fontId="50" fillId="31" borderId="0" xfId="0" applyFont="1" applyFill="1" applyAlignment="1">
      <alignment horizontal="center" vertical="center"/>
    </xf>
    <xf numFmtId="0" fontId="50" fillId="32" borderId="0" xfId="0" applyFont="1" applyFill="1" applyAlignment="1">
      <alignment horizontal="center" vertical="center"/>
    </xf>
    <xf numFmtId="0" fontId="6" fillId="33" borderId="9" xfId="31" applyFill="1" applyBorder="1" applyAlignment="1" applyProtection="1">
      <alignment horizontal="center" vertical="center"/>
      <protection locked="0"/>
    </xf>
    <xf numFmtId="0" fontId="32" fillId="0" borderId="8" xfId="0" applyFont="1" applyBorder="1" applyAlignment="1">
      <alignment horizontal="left" vertical="top" wrapText="1"/>
    </xf>
    <xf numFmtId="0" fontId="32" fillId="0" borderId="0" xfId="0" applyFont="1" applyAlignment="1">
      <alignment horizontal="left" vertical="top" wrapText="1"/>
    </xf>
    <xf numFmtId="0" fontId="5" fillId="28" borderId="12" xfId="0" applyFont="1" applyFill="1" applyBorder="1" applyAlignment="1" applyProtection="1">
      <alignment horizontal="center" vertical="center"/>
      <protection locked="0"/>
    </xf>
    <xf numFmtId="0" fontId="24" fillId="28" borderId="9" xfId="31" applyFont="1" applyFill="1" applyBorder="1" applyAlignment="1" applyProtection="1">
      <alignment horizontal="center" vertical="center" wrapText="1"/>
      <protection locked="0"/>
    </xf>
    <xf numFmtId="0" fontId="9" fillId="28" borderId="9" xfId="0" applyFont="1" applyFill="1" applyBorder="1" applyAlignment="1" applyProtection="1">
      <alignment horizontal="center" vertical="center"/>
      <protection locked="0"/>
    </xf>
    <xf numFmtId="0" fontId="5" fillId="28" borderId="9" xfId="0" applyFont="1" applyFill="1" applyBorder="1" applyAlignment="1" applyProtection="1">
      <alignment horizontal="center" vertical="center"/>
      <protection locked="0"/>
    </xf>
    <xf numFmtId="165" fontId="5" fillId="28" borderId="9" xfId="36" applyNumberFormat="1" applyFont="1" applyFill="1" applyBorder="1" applyAlignment="1" applyProtection="1">
      <alignment horizontal="center" vertical="center"/>
      <protection locked="0"/>
    </xf>
    <xf numFmtId="0" fontId="49" fillId="36" borderId="12" xfId="0" applyFont="1" applyFill="1" applyBorder="1" applyAlignment="1" applyProtection="1">
      <alignment horizontal="center" vertical="center"/>
      <protection locked="0"/>
    </xf>
    <xf numFmtId="49" fontId="6" fillId="36" borderId="9" xfId="31" applyNumberFormat="1" applyFill="1" applyBorder="1" applyAlignment="1" applyProtection="1">
      <alignment horizontal="center" vertical="center"/>
      <protection locked="0"/>
    </xf>
    <xf numFmtId="49" fontId="51" fillId="36" borderId="9" xfId="0" applyNumberFormat="1" applyFont="1" applyFill="1" applyBorder="1" applyAlignment="1" applyProtection="1">
      <alignment horizontal="center" vertical="center"/>
      <protection locked="0"/>
    </xf>
    <xf numFmtId="0" fontId="49" fillId="36" borderId="9" xfId="0" applyFont="1" applyFill="1" applyBorder="1" applyAlignment="1" applyProtection="1">
      <alignment horizontal="center" vertical="center"/>
      <protection locked="0"/>
    </xf>
    <xf numFmtId="165" fontId="49" fillId="36" borderId="9" xfId="36" applyNumberFormat="1" applyFont="1" applyFill="1" applyBorder="1" applyAlignment="1" applyProtection="1">
      <alignment horizontal="center" vertical="center"/>
      <protection locked="0"/>
    </xf>
    <xf numFmtId="0" fontId="9" fillId="0" borderId="12" xfId="0" applyFont="1" applyBorder="1" applyAlignment="1" applyProtection="1">
      <alignment horizontal="center" vertical="center"/>
      <protection locked="0"/>
    </xf>
    <xf numFmtId="49" fontId="9" fillId="0" borderId="12" xfId="0" applyNumberFormat="1" applyFont="1" applyBorder="1" applyAlignment="1" applyProtection="1">
      <alignment horizontal="center" vertical="center"/>
      <protection locked="0"/>
    </xf>
    <xf numFmtId="49" fontId="6" fillId="46" borderId="9" xfId="31" applyNumberFormat="1" applyFill="1" applyBorder="1" applyAlignment="1" applyProtection="1">
      <alignment horizontal="center" vertical="center"/>
      <protection locked="0"/>
    </xf>
    <xf numFmtId="49" fontId="9" fillId="46" borderId="9" xfId="0" applyNumberFormat="1" applyFont="1" applyFill="1" applyBorder="1" applyAlignment="1" applyProtection="1">
      <alignment horizontal="center" vertical="center"/>
      <protection locked="0"/>
    </xf>
    <xf numFmtId="0" fontId="5" fillId="47" borderId="12" xfId="0" applyFont="1" applyFill="1" applyBorder="1" applyAlignment="1" applyProtection="1">
      <alignment horizontal="center" vertical="center"/>
      <protection locked="0"/>
    </xf>
    <xf numFmtId="0" fontId="6" fillId="47" borderId="9" xfId="31" applyFill="1" applyBorder="1" applyAlignment="1" applyProtection="1">
      <alignment horizontal="center" vertical="center"/>
      <protection locked="0"/>
    </xf>
    <xf numFmtId="49" fontId="9" fillId="47" borderId="9" xfId="0" applyNumberFormat="1" applyFont="1" applyFill="1" applyBorder="1" applyAlignment="1" applyProtection="1">
      <alignment horizontal="center" vertical="center"/>
      <protection locked="0"/>
    </xf>
    <xf numFmtId="0" fontId="5" fillId="47" borderId="9" xfId="0" applyFont="1" applyFill="1" applyBorder="1" applyAlignment="1" applyProtection="1">
      <alignment horizontal="center" vertical="center"/>
      <protection locked="0"/>
    </xf>
    <xf numFmtId="165" fontId="5" fillId="47" borderId="9" xfId="36" applyNumberFormat="1" applyFont="1" applyFill="1" applyBorder="1" applyAlignment="1" applyProtection="1">
      <alignment horizontal="center" vertical="center"/>
      <protection locked="0"/>
    </xf>
    <xf numFmtId="0" fontId="51" fillId="0" borderId="12" xfId="0" applyFont="1" applyBorder="1" applyAlignment="1" applyProtection="1">
      <alignment horizontal="center" vertical="center"/>
      <protection locked="0"/>
    </xf>
    <xf numFmtId="0" fontId="64" fillId="0" borderId="9" xfId="31" applyFont="1" applyFill="1" applyBorder="1" applyAlignment="1" applyProtection="1">
      <alignment horizontal="center" vertical="center" wrapText="1"/>
      <protection locked="0"/>
    </xf>
    <xf numFmtId="49" fontId="51" fillId="0" borderId="9" xfId="0" applyNumberFormat="1" applyFont="1" applyBorder="1" applyAlignment="1" applyProtection="1">
      <alignment horizontal="center" vertical="center"/>
      <protection locked="0"/>
    </xf>
    <xf numFmtId="0" fontId="24" fillId="0" borderId="9" xfId="31" applyFont="1" applyFill="1" applyBorder="1" applyAlignment="1" applyProtection="1">
      <alignment horizontal="center" vertical="center"/>
      <protection locked="0"/>
    </xf>
    <xf numFmtId="0" fontId="6" fillId="47" borderId="9" xfId="31" applyFill="1" applyBorder="1" applyAlignment="1" applyProtection="1">
      <alignment horizontal="center" vertical="center" wrapText="1"/>
      <protection locked="0"/>
    </xf>
    <xf numFmtId="0" fontId="12" fillId="46" borderId="12" xfId="0" applyFont="1" applyFill="1" applyBorder="1" applyAlignment="1">
      <alignment horizontal="center" vertical="center"/>
    </xf>
    <xf numFmtId="0" fontId="0" fillId="46" borderId="9" xfId="0" applyFill="1" applyBorder="1" applyAlignment="1">
      <alignment horizontal="center" vertical="center"/>
    </xf>
    <xf numFmtId="0" fontId="6" fillId="0" borderId="9" xfId="31" applyFill="1" applyBorder="1" applyAlignment="1" applyProtection="1">
      <alignment horizontal="center" vertical="center" wrapText="1"/>
      <protection locked="0"/>
    </xf>
    <xf numFmtId="3" fontId="5" fillId="46" borderId="9" xfId="0" applyNumberFormat="1" applyFont="1" applyFill="1" applyBorder="1" applyAlignment="1" applyProtection="1">
      <alignment horizontal="center" vertical="center"/>
      <protection locked="0"/>
    </xf>
    <xf numFmtId="0" fontId="24" fillId="47" borderId="9" xfId="31" applyFont="1" applyFill="1" applyBorder="1" applyAlignment="1" applyProtection="1">
      <alignment horizontal="center" vertical="center" wrapText="1"/>
      <protection locked="0"/>
    </xf>
    <xf numFmtId="0" fontId="9" fillId="47" borderId="9" xfId="0" applyFont="1" applyFill="1" applyBorder="1" applyAlignment="1" applyProtection="1">
      <alignment horizontal="center" vertical="center"/>
      <protection locked="0"/>
    </xf>
    <xf numFmtId="3" fontId="5" fillId="47" borderId="9" xfId="0" applyNumberFormat="1" applyFont="1" applyFill="1" applyBorder="1" applyAlignment="1" applyProtection="1">
      <alignment horizontal="center" vertical="center"/>
      <protection locked="0"/>
    </xf>
    <xf numFmtId="0" fontId="6" fillId="46" borderId="9" xfId="31" applyFill="1" applyBorder="1" applyAlignment="1" applyProtection="1">
      <alignment horizontal="center" vertical="center" wrapText="1"/>
      <protection locked="0"/>
    </xf>
    <xf numFmtId="0" fontId="5" fillId="0" borderId="9" xfId="0" applyFont="1" applyBorder="1" applyAlignment="1" applyProtection="1">
      <alignment horizontal="center" vertical="center" wrapText="1"/>
      <protection locked="0"/>
    </xf>
    <xf numFmtId="0" fontId="9" fillId="47" borderId="12" xfId="0" applyFont="1" applyFill="1" applyBorder="1" applyAlignment="1" applyProtection="1">
      <alignment horizontal="center" vertical="center"/>
      <protection locked="0"/>
    </xf>
    <xf numFmtId="0" fontId="58" fillId="0" borderId="9" xfId="31" applyFont="1" applyFill="1" applyBorder="1" applyAlignment="1" applyProtection="1">
      <alignment horizontal="center" vertical="center" wrapText="1"/>
      <protection locked="0"/>
    </xf>
    <xf numFmtId="3" fontId="51" fillId="0" borderId="9" xfId="0" applyNumberFormat="1" applyFont="1" applyBorder="1" applyAlignment="1" applyProtection="1">
      <alignment horizontal="center" vertical="center"/>
      <protection locked="0"/>
    </xf>
    <xf numFmtId="0" fontId="54" fillId="0" borderId="9" xfId="31" applyFont="1" applyFill="1" applyBorder="1" applyAlignment="1" applyProtection="1">
      <alignment horizontal="center" vertical="center" wrapText="1"/>
      <protection locked="0"/>
    </xf>
    <xf numFmtId="0" fontId="57" fillId="0" borderId="12" xfId="0" applyFont="1" applyBorder="1" applyAlignment="1">
      <alignment horizontal="center" vertical="center"/>
    </xf>
    <xf numFmtId="49" fontId="57" fillId="0" borderId="9" xfId="0" applyNumberFormat="1" applyFont="1" applyBorder="1" applyAlignment="1">
      <alignment horizontal="center" vertical="center"/>
    </xf>
    <xf numFmtId="165" fontId="51" fillId="0" borderId="9" xfId="36" applyNumberFormat="1" applyFont="1" applyFill="1" applyBorder="1" applyAlignment="1" applyProtection="1">
      <alignment horizontal="center" vertical="center"/>
      <protection locked="0"/>
    </xf>
    <xf numFmtId="0" fontId="51" fillId="47" borderId="12" xfId="0" applyFont="1" applyFill="1" applyBorder="1" applyAlignment="1" applyProtection="1">
      <alignment horizontal="center" vertical="center"/>
      <protection locked="0"/>
    </xf>
    <xf numFmtId="0" fontId="52" fillId="47" borderId="9" xfId="31" applyFont="1" applyFill="1" applyBorder="1" applyAlignment="1" applyProtection="1">
      <alignment horizontal="center" vertical="center"/>
      <protection locked="0"/>
    </xf>
    <xf numFmtId="49" fontId="51" fillId="47" borderId="9" xfId="0" applyNumberFormat="1" applyFont="1" applyFill="1" applyBorder="1" applyAlignment="1" applyProtection="1">
      <alignment horizontal="center" vertical="center"/>
      <protection locked="0"/>
    </xf>
    <xf numFmtId="0" fontId="51" fillId="47" borderId="9" xfId="0" applyFont="1" applyFill="1" applyBorder="1" applyAlignment="1" applyProtection="1">
      <alignment horizontal="center" vertical="center"/>
      <protection locked="0"/>
    </xf>
    <xf numFmtId="3" fontId="51" fillId="47" borderId="9" xfId="0" applyNumberFormat="1" applyFont="1" applyFill="1" applyBorder="1" applyAlignment="1" applyProtection="1">
      <alignment horizontal="center" vertical="center"/>
      <protection locked="0"/>
    </xf>
    <xf numFmtId="0" fontId="48" fillId="30" borderId="13" xfId="0" applyFont="1" applyFill="1" applyBorder="1" applyAlignment="1">
      <alignment horizontal="center" vertical="center"/>
    </xf>
    <xf numFmtId="0" fontId="58" fillId="47" borderId="9" xfId="31" applyFont="1" applyFill="1" applyBorder="1" applyAlignment="1" applyProtection="1">
      <alignment horizontal="center" vertical="center" wrapText="1"/>
      <protection locked="0"/>
    </xf>
    <xf numFmtId="49" fontId="24" fillId="47" borderId="9" xfId="31" applyNumberFormat="1" applyFont="1" applyFill="1" applyBorder="1" applyAlignment="1" applyProtection="1">
      <alignment horizontal="center" vertical="center"/>
      <protection locked="0"/>
    </xf>
  </cellXfs>
  <cellStyles count="50">
    <cellStyle name="20% - Cor1" xfId="1" xr:uid="{00000000-0005-0000-0000-000000000000}"/>
    <cellStyle name="20% - Cor2" xfId="2" xr:uid="{00000000-0005-0000-0000-000001000000}"/>
    <cellStyle name="20% - Cor3" xfId="3" xr:uid="{00000000-0005-0000-0000-000002000000}"/>
    <cellStyle name="20% - Cor4" xfId="4" xr:uid="{00000000-0005-0000-0000-000003000000}"/>
    <cellStyle name="20% - Cor5" xfId="5" xr:uid="{00000000-0005-0000-0000-000004000000}"/>
    <cellStyle name="20% - Cor6" xfId="6" xr:uid="{00000000-0005-0000-0000-000005000000}"/>
    <cellStyle name="40% - Cor1" xfId="7" xr:uid="{00000000-0005-0000-0000-000006000000}"/>
    <cellStyle name="40% - Cor2" xfId="8" xr:uid="{00000000-0005-0000-0000-000007000000}"/>
    <cellStyle name="40% - Cor3" xfId="9" xr:uid="{00000000-0005-0000-0000-000008000000}"/>
    <cellStyle name="40% - Cor4" xfId="10" xr:uid="{00000000-0005-0000-0000-000009000000}"/>
    <cellStyle name="40% - Cor5" xfId="11" xr:uid="{00000000-0005-0000-0000-00000A000000}"/>
    <cellStyle name="40% - Cor6" xfId="12" xr:uid="{00000000-0005-0000-0000-00000B000000}"/>
    <cellStyle name="60% - Cor1" xfId="13" xr:uid="{00000000-0005-0000-0000-00000C000000}"/>
    <cellStyle name="60% - Cor2" xfId="14" xr:uid="{00000000-0005-0000-0000-00000D000000}"/>
    <cellStyle name="60% - Cor3" xfId="15" xr:uid="{00000000-0005-0000-0000-00000E000000}"/>
    <cellStyle name="60% - Cor4" xfId="16" xr:uid="{00000000-0005-0000-0000-00000F000000}"/>
    <cellStyle name="60% - Cor5" xfId="17" xr:uid="{00000000-0005-0000-0000-000010000000}"/>
    <cellStyle name="60% - Cor6" xfId="18" xr:uid="{00000000-0005-0000-0000-000011000000}"/>
    <cellStyle name="Cabeçalho 1" xfId="19" xr:uid="{00000000-0005-0000-0000-000012000000}"/>
    <cellStyle name="Cabeçalho 2" xfId="20" xr:uid="{00000000-0005-0000-0000-000013000000}"/>
    <cellStyle name="Cabeçalho 3" xfId="21" xr:uid="{00000000-0005-0000-0000-000014000000}"/>
    <cellStyle name="Cabeçalho 4" xfId="22" xr:uid="{00000000-0005-0000-0000-000015000000}"/>
    <cellStyle name="Célula Ligada" xfId="23" xr:uid="{00000000-0005-0000-0000-000016000000}"/>
    <cellStyle name="Cor1" xfId="24" xr:uid="{00000000-0005-0000-0000-000017000000}"/>
    <cellStyle name="Cor2" xfId="25" xr:uid="{00000000-0005-0000-0000-000018000000}"/>
    <cellStyle name="Cor3" xfId="26" xr:uid="{00000000-0005-0000-0000-000019000000}"/>
    <cellStyle name="Cor4" xfId="27" xr:uid="{00000000-0005-0000-0000-00001A000000}"/>
    <cellStyle name="Cor5" xfId="28" xr:uid="{00000000-0005-0000-0000-00001B000000}"/>
    <cellStyle name="Cor6" xfId="29" xr:uid="{00000000-0005-0000-0000-00001C000000}"/>
    <cellStyle name="Correto" xfId="30" xr:uid="{00000000-0005-0000-0000-00001D000000}"/>
    <cellStyle name="Hipervínculo" xfId="31" builtinId="8"/>
    <cellStyle name="Incorreto" xfId="32" xr:uid="{00000000-0005-0000-0000-00001F000000}"/>
    <cellStyle name="Millares" xfId="33" builtinId="3"/>
    <cellStyle name="Millares 2" xfId="34" xr:uid="{00000000-0005-0000-0000-000021000000}"/>
    <cellStyle name="Moneda" xfId="35" builtinId="4"/>
    <cellStyle name="Moneda 2" xfId="36" xr:uid="{00000000-0005-0000-0000-000023000000}"/>
    <cellStyle name="Moneda 3" xfId="37" xr:uid="{00000000-0005-0000-0000-000024000000}"/>
    <cellStyle name="Neutro" xfId="38" xr:uid="{00000000-0005-0000-0000-000025000000}"/>
    <cellStyle name="Normal" xfId="0" builtinId="0"/>
    <cellStyle name="Normal 2" xfId="39" xr:uid="{00000000-0005-0000-0000-000027000000}"/>
    <cellStyle name="Normal 3" xfId="40" xr:uid="{00000000-0005-0000-0000-000028000000}"/>
    <cellStyle name="Normal 3 2" xfId="41" xr:uid="{00000000-0005-0000-0000-000029000000}"/>
    <cellStyle name="Normal 4" xfId="42" xr:uid="{00000000-0005-0000-0000-00002A000000}"/>
    <cellStyle name="Normal 4 2" xfId="43" xr:uid="{00000000-0005-0000-0000-00002B000000}"/>
    <cellStyle name="Normal 5" xfId="44" xr:uid="{00000000-0005-0000-0000-00002C000000}"/>
    <cellStyle name="Nota" xfId="45" xr:uid="{00000000-0005-0000-0000-00002D000000}"/>
    <cellStyle name="Porcentaje 2" xfId="46" xr:uid="{00000000-0005-0000-0000-00002E000000}"/>
    <cellStyle name="Saída" xfId="47" xr:uid="{00000000-0005-0000-0000-00002F000000}"/>
    <cellStyle name="Texto de Aviso" xfId="48" xr:uid="{00000000-0005-0000-0000-000030000000}"/>
    <cellStyle name="Verificar Célula" xfId="49" xr:uid="{00000000-0005-0000-0000-00003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2CDDC"/>
      <color rgb="FFC4C4C4"/>
      <color rgb="FFFFFF85"/>
      <color rgb="FFF7CDA3"/>
      <color rgb="FFE2E88F"/>
      <color rgb="FFE9A5E4"/>
      <color rgb="FFBCFBAB"/>
      <color rgb="FFDF9485"/>
      <color rgb="FFFBFAC1"/>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www.roly.eu/"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22411</xdr:colOff>
      <xdr:row>49</xdr:row>
      <xdr:rowOff>102098</xdr:rowOff>
    </xdr:to>
    <xdr:pic>
      <xdr:nvPicPr>
        <xdr:cNvPr id="4" name="Imagen 3">
          <a:extLst>
            <a:ext uri="{FF2B5EF4-FFF2-40B4-BE49-F238E27FC236}">
              <a16:creationId xmlns:a16="http://schemas.microsoft.com/office/drawing/2014/main" id="{9D93E093-4AB1-6E4C-FD0E-DCC91DE41E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533029" cy="9436598"/>
        </a:xfrm>
        <a:prstGeom prst="rect">
          <a:avLst/>
        </a:prstGeom>
      </xdr:spPr>
    </xdr:pic>
    <xdr:clientData/>
  </xdr:twoCellAnchor>
  <xdr:twoCellAnchor>
    <xdr:from>
      <xdr:col>1</xdr:col>
      <xdr:colOff>571500</xdr:colOff>
      <xdr:row>31</xdr:row>
      <xdr:rowOff>22411</xdr:rowOff>
    </xdr:from>
    <xdr:to>
      <xdr:col>6</xdr:col>
      <xdr:colOff>238568</xdr:colOff>
      <xdr:row>36</xdr:row>
      <xdr:rowOff>138093</xdr:rowOff>
    </xdr:to>
    <xdr:sp macro="" textlink="">
      <xdr:nvSpPr>
        <xdr:cNvPr id="2" name="CuadroTexto 1">
          <a:extLst>
            <a:ext uri="{FF2B5EF4-FFF2-40B4-BE49-F238E27FC236}">
              <a16:creationId xmlns:a16="http://schemas.microsoft.com/office/drawing/2014/main" id="{BEEB4972-A731-5DA7-1006-BC87CE2969BD}"/>
            </a:ext>
          </a:extLst>
        </xdr:cNvPr>
        <xdr:cNvSpPr txBox="1"/>
      </xdr:nvSpPr>
      <xdr:spPr bwMode="auto">
        <a:xfrm>
          <a:off x="986118" y="8213911"/>
          <a:ext cx="3477068" cy="1068182"/>
        </a:xfrm>
        <a:prstGeom prst="rect">
          <a:avLst/>
        </a:prstGeom>
        <a:noFill/>
        <a:ln w="317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a:defRPr>
              <a:solidFill>
                <a:schemeClr val="dk1"/>
              </a:solidFill>
              <a:latin typeface="+mn-lt"/>
              <a:ea typeface="+mn-ea"/>
              <a:cs typeface="+mn-cs"/>
            </a:defRPr>
          </a:lvl1pPr>
          <a:lvl2pPr>
            <a:defRPr>
              <a:solidFill>
                <a:schemeClr val="dk1"/>
              </a:solidFill>
              <a:latin typeface="+mn-lt"/>
              <a:ea typeface="+mn-ea"/>
              <a:cs typeface="+mn-cs"/>
            </a:defRPr>
          </a:lvl2pPr>
          <a:lvl3pPr>
            <a:defRPr>
              <a:solidFill>
                <a:schemeClr val="dk1"/>
              </a:solidFill>
              <a:latin typeface="+mn-lt"/>
              <a:ea typeface="+mn-ea"/>
              <a:cs typeface="+mn-cs"/>
            </a:defRPr>
          </a:lvl3pPr>
          <a:lvl4pPr>
            <a:defRPr>
              <a:solidFill>
                <a:schemeClr val="dk1"/>
              </a:solidFill>
              <a:latin typeface="+mn-lt"/>
              <a:ea typeface="+mn-ea"/>
              <a:cs typeface="+mn-cs"/>
            </a:defRPr>
          </a:lvl4pPr>
          <a:lvl5pPr>
            <a:defRPr>
              <a:solidFill>
                <a:schemeClr val="dk1"/>
              </a:solidFill>
              <a:latin typeface="+mn-lt"/>
              <a:ea typeface="+mn-ea"/>
              <a:cs typeface="+mn-cs"/>
            </a:defRPr>
          </a:lvl5pPr>
          <a:lvl6pPr>
            <a:defRPr>
              <a:solidFill>
                <a:schemeClr val="dk1"/>
              </a:solidFill>
              <a:latin typeface="+mn-lt"/>
              <a:ea typeface="+mn-ea"/>
              <a:cs typeface="+mn-cs"/>
            </a:defRPr>
          </a:lvl6pPr>
          <a:lvl7pPr>
            <a:defRPr>
              <a:solidFill>
                <a:schemeClr val="dk1"/>
              </a:solidFill>
              <a:latin typeface="+mn-lt"/>
              <a:ea typeface="+mn-ea"/>
              <a:cs typeface="+mn-cs"/>
            </a:defRPr>
          </a:lvl7pPr>
          <a:lvl8pPr>
            <a:defRPr>
              <a:solidFill>
                <a:schemeClr val="dk1"/>
              </a:solidFill>
              <a:latin typeface="+mn-lt"/>
              <a:ea typeface="+mn-ea"/>
              <a:cs typeface="+mn-cs"/>
            </a:defRPr>
          </a:lvl8pPr>
          <a:lvl9pPr>
            <a:defRPr>
              <a:solidFill>
                <a:schemeClr val="dk1"/>
              </a:solidFill>
              <a:latin typeface="+mn-lt"/>
              <a:ea typeface="+mn-ea"/>
              <a:cs typeface="+mn-cs"/>
            </a:defRPr>
          </a:lvl9pPr>
        </a:lstStyle>
        <a:p>
          <a:pPr algn="r" rtl="0">
            <a:lnSpc>
              <a:spcPts val="1200"/>
            </a:lnSpc>
            <a:defRPr sz="1000"/>
          </a:pPr>
          <a:r>
            <a:rPr lang="es-ES" sz="1900" b="1" i="0" u="none" strike="noStrike" baseline="0">
              <a:solidFill>
                <a:srgbClr val="000000"/>
              </a:solidFill>
              <a:latin typeface="Arial Narrow"/>
              <a:ea typeface="Arial Narrow"/>
              <a:cs typeface="Arial Narrow"/>
            </a:rPr>
            <a:t>TARIFA CONFIDENCIAL 2026</a:t>
          </a:r>
        </a:p>
        <a:p>
          <a:pPr algn="r" rtl="0">
            <a:lnSpc>
              <a:spcPts val="1200"/>
            </a:lnSpc>
            <a:defRPr sz="1000"/>
          </a:pPr>
          <a:endParaRPr lang="es-ES" sz="1900" b="1" i="0" u="none" strike="noStrike" baseline="0">
            <a:solidFill>
              <a:srgbClr val="000000"/>
            </a:solidFill>
            <a:latin typeface="Arial Narrow"/>
            <a:ea typeface="Arial Narrow"/>
            <a:cs typeface="Arial Narrow"/>
          </a:endParaRPr>
        </a:p>
        <a:p>
          <a:pPr algn="r" rtl="0">
            <a:lnSpc>
              <a:spcPts val="1200"/>
            </a:lnSpc>
            <a:defRPr sz="1000"/>
          </a:pPr>
          <a:r>
            <a:rPr lang="es-ES" sz="1900" b="1" i="0" u="none" strike="noStrike" baseline="0">
              <a:solidFill>
                <a:srgbClr val="000000"/>
              </a:solidFill>
              <a:latin typeface="Arial Narrow"/>
              <a:ea typeface="Arial Narrow"/>
              <a:cs typeface="Arial Narrow"/>
            </a:rPr>
            <a:t>CONFIDENTIAL PRICE LIST 2026</a:t>
          </a:r>
        </a:p>
        <a:p>
          <a:pPr algn="r" rtl="0">
            <a:lnSpc>
              <a:spcPts val="1200"/>
            </a:lnSpc>
            <a:defRPr sz="1000"/>
          </a:pPr>
          <a:endParaRPr lang="es-ES" sz="1900" b="1" i="0" u="none" strike="noStrike" baseline="0">
            <a:solidFill>
              <a:srgbClr val="000000"/>
            </a:solidFill>
            <a:latin typeface="Arial Narrow"/>
            <a:ea typeface="Arial Narrow"/>
            <a:cs typeface="Arial Narrow"/>
          </a:endParaRPr>
        </a:p>
        <a:p>
          <a:pPr algn="r" rtl="0">
            <a:lnSpc>
              <a:spcPts val="1200"/>
            </a:lnSpc>
            <a:defRPr sz="1000"/>
          </a:pPr>
          <a:r>
            <a:rPr lang="es-ES" sz="1900" b="1" i="0" u="none" strike="noStrike" baseline="0">
              <a:solidFill>
                <a:srgbClr val="000000"/>
              </a:solidFill>
              <a:latin typeface="Arial Narrow"/>
              <a:ea typeface="Arial Narrow"/>
              <a:cs typeface="Arial Narrow"/>
            </a:rPr>
            <a:t>TARIF CONFIDENTIEL 2026</a:t>
          </a:r>
          <a:endParaRPr lang="es-ES" sz="2000" b="1" i="0" u="none" strike="noStrike" baseline="0">
            <a:solidFill>
              <a:srgbClr val="000000"/>
            </a:solidFill>
            <a:latin typeface="Arial Narrow"/>
            <a:ea typeface="Arial Narrow"/>
            <a:cs typeface="Arial Narrow"/>
          </a:endParaRPr>
        </a:p>
        <a:p>
          <a:pPr algn="r" rtl="0">
            <a:lnSpc>
              <a:spcPts val="1200"/>
            </a:lnSpc>
            <a:defRPr sz="1000"/>
          </a:pPr>
          <a:endParaRPr lang="es-ES" sz="2000" b="1" i="0" u="none" strike="noStrike" baseline="0">
            <a:solidFill>
              <a:srgbClr val="000000"/>
            </a:solidFill>
            <a:latin typeface="Arial Narrow"/>
            <a:ea typeface="Arial Narrow"/>
            <a:cs typeface="Arial Narrow"/>
          </a:endParaRPr>
        </a:p>
        <a:p>
          <a:pPr algn="r" rtl="0">
            <a:lnSpc>
              <a:spcPts val="1200"/>
            </a:lnSpc>
            <a:defRPr sz="1000"/>
          </a:pPr>
          <a:endParaRPr lang="es-ES" sz="2000" b="1" i="0" u="none" strike="noStrike" baseline="0">
            <a:solidFill>
              <a:srgbClr val="000000"/>
            </a:solidFill>
            <a:latin typeface="Arial Narrow"/>
            <a:ea typeface="Arial Narrow"/>
            <a:cs typeface="Arial Narrow"/>
          </a:endParaRPr>
        </a:p>
        <a:p>
          <a:pPr algn="r" rtl="0">
            <a:lnSpc>
              <a:spcPts val="1200"/>
            </a:lnSpc>
            <a:defRPr sz="1000"/>
          </a:pPr>
          <a:endParaRPr lang="es-ES" sz="2000" b="1" i="0" u="none" strike="noStrike" baseline="0">
            <a:solidFill>
              <a:srgbClr val="000000"/>
            </a:solidFill>
            <a:latin typeface="Arial Narrow"/>
            <a:ea typeface="Arial Narrow"/>
            <a:cs typeface="Arial Narrow"/>
          </a:endParaRPr>
        </a:p>
        <a:p>
          <a:pPr algn="r" rtl="0">
            <a:lnSpc>
              <a:spcPts val="1100"/>
            </a:lnSpc>
            <a:defRPr sz="1000"/>
          </a:pPr>
          <a:endParaRPr lang="es-ES" sz="2000" b="1" i="0" u="none" strike="noStrike" baseline="0">
            <a:solidFill>
              <a:srgbClr val="000000"/>
            </a:solidFill>
            <a:latin typeface="Arial Narrow"/>
            <a:ea typeface="Arial Narrow"/>
            <a:cs typeface="Arial Narrow"/>
          </a:endParaRPr>
        </a:p>
        <a:p>
          <a:pPr algn="r" rtl="0">
            <a:lnSpc>
              <a:spcPts val="1200"/>
            </a:lnSpc>
            <a:defRPr sz="1000"/>
          </a:pPr>
          <a:endParaRPr lang="es-ES" sz="2000" b="1" i="0" u="none" strike="noStrike" baseline="0">
            <a:solidFill>
              <a:srgbClr val="000000"/>
            </a:solidFill>
            <a:latin typeface="Arial Narrow"/>
            <a:ea typeface="Arial Narrow"/>
            <a:cs typeface="Arial Narrow"/>
          </a:endParaRPr>
        </a:p>
        <a:p>
          <a:pPr algn="r" rtl="0">
            <a:lnSpc>
              <a:spcPts val="1100"/>
            </a:lnSpc>
            <a:defRPr sz="1000"/>
          </a:pPr>
          <a:endParaRPr lang="es-ES" sz="2000" b="1" i="0" u="none" strike="noStrike" baseline="0">
            <a:solidFill>
              <a:srgbClr val="000000"/>
            </a:solidFill>
            <a:latin typeface="Arial Narrow"/>
            <a:ea typeface="Arial Narrow"/>
            <a:cs typeface="Arial Narrow"/>
          </a:endParaRPr>
        </a:p>
        <a:p>
          <a:pPr algn="r" rtl="0">
            <a:lnSpc>
              <a:spcPts val="1200"/>
            </a:lnSpc>
            <a:defRPr sz="1000"/>
          </a:pPr>
          <a:endParaRPr lang="es-ES" sz="2000" b="1" i="0" u="none" strike="noStrike" baseline="0">
            <a:solidFill>
              <a:srgbClr val="000000"/>
            </a:solidFill>
            <a:latin typeface="Arial Narrow"/>
            <a:ea typeface="Arial Narrow"/>
            <a:cs typeface="Arial Narrow"/>
          </a:endParaRPr>
        </a:p>
        <a:p>
          <a:pPr algn="r" rtl="0">
            <a:lnSpc>
              <a:spcPts val="1200"/>
            </a:lnSpc>
            <a:defRPr sz="1000"/>
          </a:pPr>
          <a:endParaRPr lang="es-ES" sz="2000" b="1" i="0" u="none" strike="noStrike" baseline="0">
            <a:solidFill>
              <a:srgbClr val="000000"/>
            </a:solidFill>
            <a:latin typeface="Arial Narrow"/>
            <a:ea typeface="Arial Narrow"/>
            <a:cs typeface="Arial Narrow"/>
          </a:endParaRPr>
        </a:p>
        <a:p>
          <a:pPr algn="r" rtl="0">
            <a:lnSpc>
              <a:spcPts val="1200"/>
            </a:lnSpc>
            <a:defRPr sz="1000"/>
          </a:pPr>
          <a:endParaRPr lang="es-ES" sz="2000" b="1" i="0" u="none" strike="noStrike" baseline="0">
            <a:solidFill>
              <a:srgbClr val="000000"/>
            </a:solidFill>
            <a:latin typeface="Arial Narrow"/>
            <a:ea typeface="Arial Narrow"/>
            <a:cs typeface="Arial Narrow"/>
          </a:endParaRPr>
        </a:p>
        <a:p>
          <a:pPr algn="r" rtl="0">
            <a:lnSpc>
              <a:spcPts val="1200"/>
            </a:lnSpc>
            <a:defRPr sz="1000"/>
          </a:pPr>
          <a:endParaRPr lang="es-ES" sz="2000" b="1" i="0" u="none" strike="noStrike" baseline="0">
            <a:solidFill>
              <a:srgbClr val="000000"/>
            </a:solidFill>
            <a:latin typeface="Arial Narrow"/>
            <a:ea typeface="Arial Narrow"/>
            <a:cs typeface="Arial Narrow"/>
          </a:endParaRPr>
        </a:p>
        <a:p>
          <a:pPr algn="r" rtl="0">
            <a:lnSpc>
              <a:spcPts val="1200"/>
            </a:lnSpc>
            <a:defRPr sz="1000"/>
          </a:pPr>
          <a:endParaRPr lang="es-ES" sz="2000" b="1" i="0" u="none" strike="noStrike" baseline="0">
            <a:solidFill>
              <a:srgbClr val="000000"/>
            </a:solidFill>
            <a:latin typeface="Arial Narrow"/>
            <a:ea typeface="Arial Narrow"/>
            <a:cs typeface="Arial Narrow"/>
          </a:endParaRPr>
        </a:p>
        <a:p>
          <a:pPr algn="r" rtl="0">
            <a:lnSpc>
              <a:spcPts val="900"/>
            </a:lnSpc>
            <a:defRPr sz="1000"/>
          </a:pPr>
          <a:endParaRPr lang="es-ES" sz="2000" b="1" i="0" u="none" strike="noStrike" baseline="0">
            <a:solidFill>
              <a:srgbClr val="000000"/>
            </a:solidFill>
            <a:latin typeface="Arial Narrow"/>
            <a:ea typeface="Arial Narrow"/>
            <a:cs typeface="Arial Narrow"/>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0</xdr:row>
      <xdr:rowOff>57150</xdr:rowOff>
    </xdr:from>
    <xdr:to>
      <xdr:col>10</xdr:col>
      <xdr:colOff>19050</xdr:colOff>
      <xdr:row>4</xdr:row>
      <xdr:rowOff>0</xdr:rowOff>
    </xdr:to>
    <xdr:pic>
      <xdr:nvPicPr>
        <xdr:cNvPr id="77002" name="Imagen 5">
          <a:hlinkClick xmlns:r="http://schemas.openxmlformats.org/officeDocument/2006/relationships" r:id="rId1"/>
          <a:extLst>
            <a:ext uri="{FF2B5EF4-FFF2-40B4-BE49-F238E27FC236}">
              <a16:creationId xmlns:a16="http://schemas.microsoft.com/office/drawing/2014/main" id="{798A773D-9D71-D744-D2F2-117C632946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12617" t="29327" r="13084" b="27403"/>
        <a:stretch>
          <a:fillRect/>
        </a:stretch>
      </xdr:blipFill>
      <xdr:spPr bwMode="auto">
        <a:xfrm>
          <a:off x="152400" y="57150"/>
          <a:ext cx="17716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roly.es/model_PA9109" TargetMode="External"/><Relationship Id="rId21" Type="http://schemas.openxmlformats.org/officeDocument/2006/relationships/hyperlink" Target="https://www.roly.es/model_HV9314" TargetMode="External"/><Relationship Id="rId42" Type="http://schemas.openxmlformats.org/officeDocument/2006/relationships/hyperlink" Target="https://www.roly.es/model_FR9403" TargetMode="External"/><Relationship Id="rId63" Type="http://schemas.openxmlformats.org/officeDocument/2006/relationships/hyperlink" Target="https://www.roly.es/model_CA8411" TargetMode="External"/><Relationship Id="rId84" Type="http://schemas.openxmlformats.org/officeDocument/2006/relationships/hyperlink" Target="https://www.roly.es/model_GR9083" TargetMode="External"/><Relationship Id="rId138" Type="http://schemas.openxmlformats.org/officeDocument/2006/relationships/hyperlink" Target="https://www.roly.es/model_PO0410" TargetMode="External"/><Relationship Id="rId159" Type="http://schemas.openxmlformats.org/officeDocument/2006/relationships/hyperlink" Target="https://www.roly.es/model_CQ6439" TargetMode="External"/><Relationship Id="rId170" Type="http://schemas.openxmlformats.org/officeDocument/2006/relationships/hyperlink" Target="https://www.roly.es/model_RA5090" TargetMode="External"/><Relationship Id="rId191" Type="http://schemas.openxmlformats.org/officeDocument/2006/relationships/hyperlink" Target="https://www.roly.es/model_HV9323" TargetMode="External"/><Relationship Id="rId205" Type="http://schemas.openxmlformats.org/officeDocument/2006/relationships/hyperlink" Target="https://stamina-shop.com/model_GO7008" TargetMode="External"/><Relationship Id="rId226" Type="http://schemas.openxmlformats.org/officeDocument/2006/relationships/hyperlink" Target="https://stamina-shop.com/model_MO1549" TargetMode="External"/><Relationship Id="rId247" Type="http://schemas.openxmlformats.org/officeDocument/2006/relationships/hyperlink" Target="https://stamina-shop.com/model_TB7609" TargetMode="External"/><Relationship Id="rId107" Type="http://schemas.openxmlformats.org/officeDocument/2006/relationships/hyperlink" Target="https://www.roly.es/model_PA9106" TargetMode="External"/><Relationship Id="rId11" Type="http://schemas.openxmlformats.org/officeDocument/2006/relationships/hyperlink" Target="https://www.roly.es/model_HV9306" TargetMode="External"/><Relationship Id="rId32" Type="http://schemas.openxmlformats.org/officeDocument/2006/relationships/hyperlink" Target="https://www.roly.es/model_HV9320" TargetMode="External"/><Relationship Id="rId53" Type="http://schemas.openxmlformats.org/officeDocument/2006/relationships/hyperlink" Target="https://www.roly.es/model_PA9100" TargetMode="External"/><Relationship Id="rId74" Type="http://schemas.openxmlformats.org/officeDocument/2006/relationships/hyperlink" Target="https://www.roly.es/model_PA9087" TargetMode="External"/><Relationship Id="rId128" Type="http://schemas.openxmlformats.org/officeDocument/2006/relationships/hyperlink" Target="https://www.roly.es/model_CA6660" TargetMode="External"/><Relationship Id="rId149" Type="http://schemas.openxmlformats.org/officeDocument/2006/relationships/hyperlink" Target="https://www.roly.es/model_PO6607" TargetMode="External"/><Relationship Id="rId5" Type="http://schemas.openxmlformats.org/officeDocument/2006/relationships/hyperlink" Target="https://www.roly.es/model_CA6690" TargetMode="External"/><Relationship Id="rId95" Type="http://schemas.openxmlformats.org/officeDocument/2006/relationships/hyperlink" Target="https://www.roly.es/model_CQ4500" TargetMode="External"/><Relationship Id="rId160" Type="http://schemas.openxmlformats.org/officeDocument/2006/relationships/hyperlink" Target="https://www.roly.es/model_RA5093" TargetMode="External"/><Relationship Id="rId181" Type="http://schemas.openxmlformats.org/officeDocument/2006/relationships/hyperlink" Target="https://www.roly.es/model_LG0405" TargetMode="External"/><Relationship Id="rId216" Type="http://schemas.openxmlformats.org/officeDocument/2006/relationships/hyperlink" Target="https://stamina-shop.com/model_GR1815" TargetMode="External"/><Relationship Id="rId237" Type="http://schemas.openxmlformats.org/officeDocument/2006/relationships/hyperlink" Target="https://stamina-shop.com/model_NA1557" TargetMode="External"/><Relationship Id="rId22" Type="http://schemas.openxmlformats.org/officeDocument/2006/relationships/hyperlink" Target="https://www.roly.es/model_CC5063" TargetMode="External"/><Relationship Id="rId43" Type="http://schemas.openxmlformats.org/officeDocument/2006/relationships/hyperlink" Target="https://www.roly.es/model_PA9102" TargetMode="External"/><Relationship Id="rId64" Type="http://schemas.openxmlformats.org/officeDocument/2006/relationships/hyperlink" Target="https://www.roly.es/model_PO8410" TargetMode="External"/><Relationship Id="rId118" Type="http://schemas.openxmlformats.org/officeDocument/2006/relationships/hyperlink" Target="https://www.roly.es/model_CM5061" TargetMode="External"/><Relationship Id="rId139" Type="http://schemas.openxmlformats.org/officeDocument/2006/relationships/hyperlink" Target="https://www.roly.es/model_PO0421" TargetMode="External"/><Relationship Id="rId85" Type="http://schemas.openxmlformats.org/officeDocument/2006/relationships/hyperlink" Target="https://www.roly.es/model_CA9091" TargetMode="External"/><Relationship Id="rId150" Type="http://schemas.openxmlformats.org/officeDocument/2006/relationships/hyperlink" Target="https://www.roly.es/model_PO6632" TargetMode="External"/><Relationship Id="rId171" Type="http://schemas.openxmlformats.org/officeDocument/2006/relationships/hyperlink" Target="https://www.roly.es/model_RA5091" TargetMode="External"/><Relationship Id="rId192" Type="http://schemas.openxmlformats.org/officeDocument/2006/relationships/hyperlink" Target="https://www.roly.es/model_PA9207" TargetMode="External"/><Relationship Id="rId206" Type="http://schemas.openxmlformats.org/officeDocument/2006/relationships/hyperlink" Target="https://stamina-shop.com/model_GO7041" TargetMode="External"/><Relationship Id="rId227" Type="http://schemas.openxmlformats.org/officeDocument/2006/relationships/hyperlink" Target="https://stamina-shop.com/model_TO0108" TargetMode="External"/><Relationship Id="rId248" Type="http://schemas.openxmlformats.org/officeDocument/2006/relationships/hyperlink" Target="https://stamina-shop.com/model_TB1720" TargetMode="External"/><Relationship Id="rId12" Type="http://schemas.openxmlformats.org/officeDocument/2006/relationships/hyperlink" Target="https://www.roly.es/model_HV9310" TargetMode="External"/><Relationship Id="rId33" Type="http://schemas.openxmlformats.org/officeDocument/2006/relationships/hyperlink" Target="https://www.roly.es/model_HV9321" TargetMode="External"/><Relationship Id="rId108" Type="http://schemas.openxmlformats.org/officeDocument/2006/relationships/hyperlink" Target="https://www.roly.es/model_PA9107" TargetMode="External"/><Relationship Id="rId129" Type="http://schemas.openxmlformats.org/officeDocument/2006/relationships/hyperlink" Target="https://www.roly.es/model_CA6661" TargetMode="External"/><Relationship Id="rId54" Type="http://schemas.openxmlformats.org/officeDocument/2006/relationships/hyperlink" Target="https://www.roly.es/model_PA9205" TargetMode="External"/><Relationship Id="rId75" Type="http://schemas.openxmlformats.org/officeDocument/2006/relationships/hyperlink" Target="https://www.roly.es/model_GO9082" TargetMode="External"/><Relationship Id="rId96" Type="http://schemas.openxmlformats.org/officeDocument/2006/relationships/hyperlink" Target="https://www.roly.es/model_CG8405" TargetMode="External"/><Relationship Id="rId140" Type="http://schemas.openxmlformats.org/officeDocument/2006/relationships/hyperlink" Target="https://www.roly.es/model_PO0409" TargetMode="External"/><Relationship Id="rId161" Type="http://schemas.openxmlformats.org/officeDocument/2006/relationships/hyperlink" Target="https://www.roly.es/model_RA1099" TargetMode="External"/><Relationship Id="rId182" Type="http://schemas.openxmlformats.org/officeDocument/2006/relationships/hyperlink" Target="https://www.roly.es/model_PA1090" TargetMode="External"/><Relationship Id="rId217" Type="http://schemas.openxmlformats.org/officeDocument/2006/relationships/hyperlink" Target="https://stamina-shop.com/model_GR1631" TargetMode="External"/><Relationship Id="rId6" Type="http://schemas.openxmlformats.org/officeDocument/2006/relationships/hyperlink" Target="https://www.roly.es/model_HV9302" TargetMode="External"/><Relationship Id="rId238" Type="http://schemas.openxmlformats.org/officeDocument/2006/relationships/hyperlink" Target="https://stamina-shop.com/model_LN1248" TargetMode="External"/><Relationship Id="rId23" Type="http://schemas.openxmlformats.org/officeDocument/2006/relationships/hyperlink" Target="https://www.roly.es/model_CC9311" TargetMode="External"/><Relationship Id="rId119" Type="http://schemas.openxmlformats.org/officeDocument/2006/relationships/hyperlink" Target="https://www.roly.es/model_CM5161" TargetMode="External"/><Relationship Id="rId44" Type="http://schemas.openxmlformats.org/officeDocument/2006/relationships/hyperlink" Target="https://www.roly.es/model_BE9005" TargetMode="External"/><Relationship Id="rId65" Type="http://schemas.openxmlformats.org/officeDocument/2006/relationships/hyperlink" Target="https://www.roly.es/model_CQ8412" TargetMode="External"/><Relationship Id="rId86" Type="http://schemas.openxmlformats.org/officeDocument/2006/relationships/hyperlink" Target="https://www.roly.es/model_CM5504" TargetMode="External"/><Relationship Id="rId130" Type="http://schemas.openxmlformats.org/officeDocument/2006/relationships/hyperlink" Target="https://www.roly.es/model_CA6532" TargetMode="External"/><Relationship Id="rId151" Type="http://schemas.openxmlformats.org/officeDocument/2006/relationships/hyperlink" Target="https://www.roly.es/model_PO6634" TargetMode="External"/><Relationship Id="rId172" Type="http://schemas.openxmlformats.org/officeDocument/2006/relationships/hyperlink" Target="https://www.roly.es/model_RA5094" TargetMode="External"/><Relationship Id="rId193" Type="http://schemas.openxmlformats.org/officeDocument/2006/relationships/hyperlink" Target="https://www.roly.es/model_ZL8380" TargetMode="External"/><Relationship Id="rId207" Type="http://schemas.openxmlformats.org/officeDocument/2006/relationships/hyperlink" Target="https://stamina-shop.com/model_GR9009" TargetMode="External"/><Relationship Id="rId228" Type="http://schemas.openxmlformats.org/officeDocument/2006/relationships/hyperlink" Target="https://stamina-shop.com/model_TO1630" TargetMode="External"/><Relationship Id="rId249" Type="http://schemas.openxmlformats.org/officeDocument/2006/relationships/hyperlink" Target="https://www.roly.es/model_RA1199" TargetMode="External"/><Relationship Id="rId13" Type="http://schemas.openxmlformats.org/officeDocument/2006/relationships/hyperlink" Target="https://www.roly.es/model_HV9305" TargetMode="External"/><Relationship Id="rId109" Type="http://schemas.openxmlformats.org/officeDocument/2006/relationships/hyperlink" Target="https://www.roly.es/model_PA9251" TargetMode="External"/><Relationship Id="rId34" Type="http://schemas.openxmlformats.org/officeDocument/2006/relationships/hyperlink" Target="https://www.roly.es/model_FR9404" TargetMode="External"/><Relationship Id="rId55" Type="http://schemas.openxmlformats.org/officeDocument/2006/relationships/hyperlink" Target="https://www.roly.es/model_BM8401" TargetMode="External"/><Relationship Id="rId76" Type="http://schemas.openxmlformats.org/officeDocument/2006/relationships/hyperlink" Target="https://www.roly.es/model_CA9085" TargetMode="External"/><Relationship Id="rId97" Type="http://schemas.openxmlformats.org/officeDocument/2006/relationships/hyperlink" Target="https://www.roly.es/model_CG8406" TargetMode="External"/><Relationship Id="rId120" Type="http://schemas.openxmlformats.org/officeDocument/2006/relationships/hyperlink" Target="https://www.roly.es/model_PO6638" TargetMode="External"/><Relationship Id="rId141" Type="http://schemas.openxmlformats.org/officeDocument/2006/relationships/hyperlink" Target="https://www.roly.es/model_CA1217" TargetMode="External"/><Relationship Id="rId7" Type="http://schemas.openxmlformats.org/officeDocument/2006/relationships/hyperlink" Target="https://www.roly.es/model_HV9303" TargetMode="External"/><Relationship Id="rId162" Type="http://schemas.openxmlformats.org/officeDocument/2006/relationships/hyperlink" Target="https://www.roly.es/model_SM1095" TargetMode="External"/><Relationship Id="rId183" Type="http://schemas.openxmlformats.org/officeDocument/2006/relationships/hyperlink" Target="https://www.roly.es/model_LG0458" TargetMode="External"/><Relationship Id="rId218" Type="http://schemas.openxmlformats.org/officeDocument/2006/relationships/hyperlink" Target="https://stamina-shop.com/model_MO1236" TargetMode="External"/><Relationship Id="rId239" Type="http://schemas.openxmlformats.org/officeDocument/2006/relationships/hyperlink" Target="https://stamina-shop.com/model_LN1773" TargetMode="External"/><Relationship Id="rId250" Type="http://schemas.openxmlformats.org/officeDocument/2006/relationships/hyperlink" Target="https://www.roly.es/model_CB5074" TargetMode="External"/><Relationship Id="rId24" Type="http://schemas.openxmlformats.org/officeDocument/2006/relationships/hyperlink" Target="https://www.roly.es/model_HV9312" TargetMode="External"/><Relationship Id="rId45" Type="http://schemas.openxmlformats.org/officeDocument/2006/relationships/hyperlink" Target="https://www.roly.es/model_PA9118" TargetMode="External"/><Relationship Id="rId66" Type="http://schemas.openxmlformats.org/officeDocument/2006/relationships/hyperlink" Target="https://www.roly.es/model_BE8409" TargetMode="External"/><Relationship Id="rId87" Type="http://schemas.openxmlformats.org/officeDocument/2006/relationships/hyperlink" Target="https://www.roly.es/model_CM5504" TargetMode="External"/><Relationship Id="rId110" Type="http://schemas.openxmlformats.org/officeDocument/2006/relationships/hyperlink" Target="https://www.roly.es/model_DE9126" TargetMode="External"/><Relationship Id="rId131" Type="http://schemas.openxmlformats.org/officeDocument/2006/relationships/hyperlink" Target="https://www.roly.es/model_CA6646" TargetMode="External"/><Relationship Id="rId152" Type="http://schemas.openxmlformats.org/officeDocument/2006/relationships/hyperlink" Target="https://www.roly.es/model_PO6638" TargetMode="External"/><Relationship Id="rId173" Type="http://schemas.openxmlformats.org/officeDocument/2006/relationships/hyperlink" Target="https://www.roly.es/model_RA5095" TargetMode="External"/><Relationship Id="rId194" Type="http://schemas.openxmlformats.org/officeDocument/2006/relationships/hyperlink" Target="https://www.roly.es/model_ZL8381" TargetMode="External"/><Relationship Id="rId208" Type="http://schemas.openxmlformats.org/officeDocument/2006/relationships/hyperlink" Target="https://stamina-shop.com/model_BR2009" TargetMode="External"/><Relationship Id="rId229" Type="http://schemas.openxmlformats.org/officeDocument/2006/relationships/hyperlink" Target="https://stamina-shop.com/model_TO0105" TargetMode="External"/><Relationship Id="rId240" Type="http://schemas.openxmlformats.org/officeDocument/2006/relationships/hyperlink" Target="https://stamina-shop.com/model_KO4075" TargetMode="External"/><Relationship Id="rId14" Type="http://schemas.openxmlformats.org/officeDocument/2006/relationships/hyperlink" Target="https://www.roly.es/model_HV9307" TargetMode="External"/><Relationship Id="rId35" Type="http://schemas.openxmlformats.org/officeDocument/2006/relationships/hyperlink" Target="https://www.roly.es/model_CA6690" TargetMode="External"/><Relationship Id="rId56" Type="http://schemas.openxmlformats.org/officeDocument/2006/relationships/hyperlink" Target="https://www.roly.es/model_BE6725" TargetMode="External"/><Relationship Id="rId77" Type="http://schemas.openxmlformats.org/officeDocument/2006/relationships/hyperlink" Target="https://www.roly.es/model_CA9084" TargetMode="External"/><Relationship Id="rId100" Type="http://schemas.openxmlformats.org/officeDocument/2006/relationships/hyperlink" Target="https://www.roly.es/model_JE8418" TargetMode="External"/><Relationship Id="rId8" Type="http://schemas.openxmlformats.org/officeDocument/2006/relationships/hyperlink" Target="https://www.roly.es/model_HV9300" TargetMode="External"/><Relationship Id="rId98" Type="http://schemas.openxmlformats.org/officeDocument/2006/relationships/hyperlink" Target="https://www.roly.es/model_CM5505" TargetMode="External"/><Relationship Id="rId121" Type="http://schemas.openxmlformats.org/officeDocument/2006/relationships/hyperlink" Target="https://www.roly.es/model_SS6432" TargetMode="External"/><Relationship Id="rId142" Type="http://schemas.openxmlformats.org/officeDocument/2006/relationships/hyperlink" Target="https://www.roly.es/model_CA1204" TargetMode="External"/><Relationship Id="rId163" Type="http://schemas.openxmlformats.org/officeDocument/2006/relationships/hyperlink" Target="https://www.roly.es/model_SM1195" TargetMode="External"/><Relationship Id="rId184" Type="http://schemas.openxmlformats.org/officeDocument/2006/relationships/hyperlink" Target="https://www.roly.es/model_LG0458" TargetMode="External"/><Relationship Id="rId219" Type="http://schemas.openxmlformats.org/officeDocument/2006/relationships/hyperlink" Target="https://stamina-shop.com/model_MO1866" TargetMode="External"/><Relationship Id="rId230" Type="http://schemas.openxmlformats.org/officeDocument/2006/relationships/hyperlink" Target="https://stamina-shop.com/model_TO0106" TargetMode="External"/><Relationship Id="rId251" Type="http://schemas.openxmlformats.org/officeDocument/2006/relationships/printerSettings" Target="../printerSettings/printerSettings1.bin"/><Relationship Id="rId25" Type="http://schemas.openxmlformats.org/officeDocument/2006/relationships/hyperlink" Target="https://www.roly.es/model_HV9315" TargetMode="External"/><Relationship Id="rId46" Type="http://schemas.openxmlformats.org/officeDocument/2006/relationships/hyperlink" Target="https://www.roly.es/model_PA9108" TargetMode="External"/><Relationship Id="rId67" Type="http://schemas.openxmlformats.org/officeDocument/2006/relationships/hyperlink" Target="https://www.roly.es/model_CQ8414" TargetMode="External"/><Relationship Id="rId88" Type="http://schemas.openxmlformats.org/officeDocument/2006/relationships/hyperlink" Target="https://www.roly.es/model_PO8403" TargetMode="External"/><Relationship Id="rId111" Type="http://schemas.openxmlformats.org/officeDocument/2006/relationships/hyperlink" Target="https://www.roly.es/model_DE9127" TargetMode="External"/><Relationship Id="rId132" Type="http://schemas.openxmlformats.org/officeDocument/2006/relationships/hyperlink" Target="https://www.roly.es/model_CA6691" TargetMode="External"/><Relationship Id="rId153" Type="http://schemas.openxmlformats.org/officeDocument/2006/relationships/hyperlink" Target="https://www.roly.es/model_PO6629" TargetMode="External"/><Relationship Id="rId174" Type="http://schemas.openxmlformats.org/officeDocument/2006/relationships/hyperlink" Target="https://www.roly.es/model_CQ1120" TargetMode="External"/><Relationship Id="rId195" Type="http://schemas.openxmlformats.org/officeDocument/2006/relationships/hyperlink" Target="https://www.roly.es/model_ZL8382" TargetMode="External"/><Relationship Id="rId209" Type="http://schemas.openxmlformats.org/officeDocument/2006/relationships/hyperlink" Target="https://stamina-shop.com/model_BR9004" TargetMode="External"/><Relationship Id="rId220" Type="http://schemas.openxmlformats.org/officeDocument/2006/relationships/hyperlink" Target="https://stamina-shop.com/model_MO1838" TargetMode="External"/><Relationship Id="rId241" Type="http://schemas.openxmlformats.org/officeDocument/2006/relationships/hyperlink" Target="https://stamina-shop.com/model_SC1891" TargetMode="External"/><Relationship Id="rId15" Type="http://schemas.openxmlformats.org/officeDocument/2006/relationships/hyperlink" Target="https://www.roly.es/model_HV9309" TargetMode="External"/><Relationship Id="rId36" Type="http://schemas.openxmlformats.org/officeDocument/2006/relationships/hyperlink" Target="https://www.roly.es/model_HV9302" TargetMode="External"/><Relationship Id="rId57" Type="http://schemas.openxmlformats.org/officeDocument/2006/relationships/hyperlink" Target="https://www.roly.es/model_BE6725" TargetMode="External"/><Relationship Id="rId78" Type="http://schemas.openxmlformats.org/officeDocument/2006/relationships/hyperlink" Target="https://www.roly.es/model_PA9086" TargetMode="External"/><Relationship Id="rId99" Type="http://schemas.openxmlformats.org/officeDocument/2006/relationships/hyperlink" Target="https://www.roly.es/model_JE8417" TargetMode="External"/><Relationship Id="rId101" Type="http://schemas.openxmlformats.org/officeDocument/2006/relationships/hyperlink" Target="https://www.roly.es/model_PA8415" TargetMode="External"/><Relationship Id="rId122" Type="http://schemas.openxmlformats.org/officeDocument/2006/relationships/hyperlink" Target="https://www.roly.es/model_CA6681" TargetMode="External"/><Relationship Id="rId143" Type="http://schemas.openxmlformats.org/officeDocument/2006/relationships/hyperlink" Target="https://www.roly.es/model_CA1219" TargetMode="External"/><Relationship Id="rId164" Type="http://schemas.openxmlformats.org/officeDocument/2006/relationships/hyperlink" Target="https://www.roly.es/model_CQ6412" TargetMode="External"/><Relationship Id="rId185" Type="http://schemas.openxmlformats.org/officeDocument/2006/relationships/hyperlink" Target="https://www.roly.es/model_SS6433" TargetMode="External"/><Relationship Id="rId4" Type="http://schemas.openxmlformats.org/officeDocument/2006/relationships/hyperlink" Target="https://www.roly.es/model_PO6638" TargetMode="External"/><Relationship Id="rId9" Type="http://schemas.openxmlformats.org/officeDocument/2006/relationships/hyperlink" Target="https://www.roly.es/model_HV9301" TargetMode="External"/><Relationship Id="rId180" Type="http://schemas.openxmlformats.org/officeDocument/2006/relationships/hyperlink" Target="https://www.roly.es/model_CB5200" TargetMode="External"/><Relationship Id="rId210" Type="http://schemas.openxmlformats.org/officeDocument/2006/relationships/hyperlink" Target="https://stamina-shop.com/model_MO1521" TargetMode="External"/><Relationship Id="rId215" Type="http://schemas.openxmlformats.org/officeDocument/2006/relationships/hyperlink" Target="https://stamina-shop.com/model_GO1470" TargetMode="External"/><Relationship Id="rId236" Type="http://schemas.openxmlformats.org/officeDocument/2006/relationships/hyperlink" Target="https://stamina-shop.com/model_TO1559" TargetMode="External"/><Relationship Id="rId26" Type="http://schemas.openxmlformats.org/officeDocument/2006/relationships/hyperlink" Target="https://www.roly.es/model_HV9302" TargetMode="External"/><Relationship Id="rId231" Type="http://schemas.openxmlformats.org/officeDocument/2006/relationships/hyperlink" Target="https://stamina-shop.com/model_TO4127" TargetMode="External"/><Relationship Id="rId47" Type="http://schemas.openxmlformats.org/officeDocument/2006/relationships/hyperlink" Target="https://www.roly.es/model_PA9200" TargetMode="External"/><Relationship Id="rId68" Type="http://schemas.openxmlformats.org/officeDocument/2006/relationships/hyperlink" Target="https://www.roly.es/model_PA8408" TargetMode="External"/><Relationship Id="rId89" Type="http://schemas.openxmlformats.org/officeDocument/2006/relationships/hyperlink" Target="https://www.roly.es/model_PO8404" TargetMode="External"/><Relationship Id="rId112" Type="http://schemas.openxmlformats.org/officeDocument/2006/relationships/hyperlink" Target="https://www.roly.es/model_DE9128" TargetMode="External"/><Relationship Id="rId133" Type="http://schemas.openxmlformats.org/officeDocument/2006/relationships/hyperlink" Target="https://www.roly.es/model_CA6689" TargetMode="External"/><Relationship Id="rId154" Type="http://schemas.openxmlformats.org/officeDocument/2006/relationships/hyperlink" Target="https://www.roly.es/model_PO6636" TargetMode="External"/><Relationship Id="rId175" Type="http://schemas.openxmlformats.org/officeDocument/2006/relationships/hyperlink" Target="https://www.roly.es/model_RA5097" TargetMode="External"/><Relationship Id="rId196" Type="http://schemas.openxmlformats.org/officeDocument/2006/relationships/hyperlink" Target="https://www.roly.es/model_ZL8383" TargetMode="External"/><Relationship Id="rId200" Type="http://schemas.openxmlformats.org/officeDocument/2006/relationships/hyperlink" Target="https://www.roly.es/model_CA0431" TargetMode="External"/><Relationship Id="rId16" Type="http://schemas.openxmlformats.org/officeDocument/2006/relationships/hyperlink" Target="https://www.roly.es/model_HV9304" TargetMode="External"/><Relationship Id="rId221" Type="http://schemas.openxmlformats.org/officeDocument/2006/relationships/hyperlink" Target="https://stamina-shop.com/model_MO1883" TargetMode="External"/><Relationship Id="rId242" Type="http://schemas.openxmlformats.org/officeDocument/2006/relationships/hyperlink" Target="https://stamina-shop.com/model_SC1193" TargetMode="External"/><Relationship Id="rId37" Type="http://schemas.openxmlformats.org/officeDocument/2006/relationships/hyperlink" Target="https://www.roly.es/model_FR9401" TargetMode="External"/><Relationship Id="rId58" Type="http://schemas.openxmlformats.org/officeDocument/2006/relationships/hyperlink" Target="https://www.roly.es/model_BE9005" TargetMode="External"/><Relationship Id="rId79" Type="http://schemas.openxmlformats.org/officeDocument/2006/relationships/hyperlink" Target="https://www.roly.es/model_PO8403" TargetMode="External"/><Relationship Id="rId102" Type="http://schemas.openxmlformats.org/officeDocument/2006/relationships/hyperlink" Target="https://www.roly.es/model_PA8416" TargetMode="External"/><Relationship Id="rId123" Type="http://schemas.openxmlformats.org/officeDocument/2006/relationships/hyperlink" Target="https://www.roly.es/model_CA6683" TargetMode="External"/><Relationship Id="rId144" Type="http://schemas.openxmlformats.org/officeDocument/2006/relationships/hyperlink" Target="https://www.roly.es/model_PO6617" TargetMode="External"/><Relationship Id="rId90" Type="http://schemas.openxmlformats.org/officeDocument/2006/relationships/hyperlink" Target="https://www.roly.es/model_CM5503" TargetMode="External"/><Relationship Id="rId165" Type="http://schemas.openxmlformats.org/officeDocument/2006/relationships/hyperlink" Target="https://www.roly.es/model_CQ6413" TargetMode="External"/><Relationship Id="rId186" Type="http://schemas.openxmlformats.org/officeDocument/2006/relationships/hyperlink" Target="https://www.roly.es/model_CA1218" TargetMode="External"/><Relationship Id="rId211" Type="http://schemas.openxmlformats.org/officeDocument/2006/relationships/hyperlink" Target="https://stamina-shop.com/model_GR1813" TargetMode="External"/><Relationship Id="rId232" Type="http://schemas.openxmlformats.org/officeDocument/2006/relationships/hyperlink" Target="https://stamina-shop.com/model_LA8088" TargetMode="External"/><Relationship Id="rId27" Type="http://schemas.openxmlformats.org/officeDocument/2006/relationships/hyperlink" Target="https://www.roly.es/model_HV9318" TargetMode="External"/><Relationship Id="rId48" Type="http://schemas.openxmlformats.org/officeDocument/2006/relationships/hyperlink" Target="https://www.roly.es/model_CQ5067" TargetMode="External"/><Relationship Id="rId69" Type="http://schemas.openxmlformats.org/officeDocument/2006/relationships/hyperlink" Target="https://www.roly.es/model_DE9105" TargetMode="External"/><Relationship Id="rId113" Type="http://schemas.openxmlformats.org/officeDocument/2006/relationships/hyperlink" Target="https://www.roly.es/model_DE9129" TargetMode="External"/><Relationship Id="rId134" Type="http://schemas.openxmlformats.org/officeDocument/2006/relationships/hyperlink" Target="https://www.roly.es/model_CA0408" TargetMode="External"/><Relationship Id="rId80" Type="http://schemas.openxmlformats.org/officeDocument/2006/relationships/hyperlink" Target="https://www.roly.es/model_CA6536" TargetMode="External"/><Relationship Id="rId155" Type="http://schemas.openxmlformats.org/officeDocument/2006/relationships/hyperlink" Target="https://www.roly.es/model_PO5009" TargetMode="External"/><Relationship Id="rId176" Type="http://schemas.openxmlformats.org/officeDocument/2006/relationships/hyperlink" Target="https://www.roly.es/model_CQ5079" TargetMode="External"/><Relationship Id="rId197" Type="http://schemas.openxmlformats.org/officeDocument/2006/relationships/hyperlink" Target="https://www.roly.es/model_ZL8384" TargetMode="External"/><Relationship Id="rId201" Type="http://schemas.openxmlformats.org/officeDocument/2006/relationships/hyperlink" Target="https://www.roly.es/model_PO0400" TargetMode="External"/><Relationship Id="rId222" Type="http://schemas.openxmlformats.org/officeDocument/2006/relationships/hyperlink" Target="https://stamina-shop.com/model_MO1783" TargetMode="External"/><Relationship Id="rId243" Type="http://schemas.openxmlformats.org/officeDocument/2006/relationships/hyperlink" Target="https://stamina-shop.com/model_SC1189" TargetMode="External"/><Relationship Id="rId17" Type="http://schemas.openxmlformats.org/officeDocument/2006/relationships/hyperlink" Target="https://www.roly.es/model_HV9302" TargetMode="External"/><Relationship Id="rId38" Type="http://schemas.openxmlformats.org/officeDocument/2006/relationships/hyperlink" Target="https://www.roly.es/model_HV9302" TargetMode="External"/><Relationship Id="rId59" Type="http://schemas.openxmlformats.org/officeDocument/2006/relationships/hyperlink" Target="https://www.roly.es/model_PA8407" TargetMode="External"/><Relationship Id="rId103" Type="http://schemas.openxmlformats.org/officeDocument/2006/relationships/hyperlink" Target="https://www.roly.es/model_PA9145" TargetMode="External"/><Relationship Id="rId124" Type="http://schemas.openxmlformats.org/officeDocument/2006/relationships/hyperlink" Target="https://www.roly.es/model_CA6503" TargetMode="External"/><Relationship Id="rId70" Type="http://schemas.openxmlformats.org/officeDocument/2006/relationships/hyperlink" Target="https://www.roly.es/model_CA9098" TargetMode="External"/><Relationship Id="rId91" Type="http://schemas.openxmlformats.org/officeDocument/2006/relationships/hyperlink" Target="https://www.roly.es/model_CM5506" TargetMode="External"/><Relationship Id="rId145" Type="http://schemas.openxmlformats.org/officeDocument/2006/relationships/hyperlink" Target="https://www.roly.es/model_PO6618" TargetMode="External"/><Relationship Id="rId166" Type="http://schemas.openxmlformats.org/officeDocument/2006/relationships/hyperlink" Target="https://www.roly.es/model_SS6436" TargetMode="External"/><Relationship Id="rId187" Type="http://schemas.openxmlformats.org/officeDocument/2006/relationships/hyperlink" Target="https://www.roly.es/model_CA0407" TargetMode="External"/><Relationship Id="rId1" Type="http://schemas.openxmlformats.org/officeDocument/2006/relationships/hyperlink" Target="https://www.roly.es/model_CA6690" TargetMode="External"/><Relationship Id="rId212" Type="http://schemas.openxmlformats.org/officeDocument/2006/relationships/hyperlink" Target="https://stamina-shop.com/model_GR1812" TargetMode="External"/><Relationship Id="rId233" Type="http://schemas.openxmlformats.org/officeDocument/2006/relationships/hyperlink" Target="https://stamina-shop.com/model_TO3991" TargetMode="External"/><Relationship Id="rId28" Type="http://schemas.openxmlformats.org/officeDocument/2006/relationships/hyperlink" Target="https://www.roly.es/model_HV9302" TargetMode="External"/><Relationship Id="rId49" Type="http://schemas.openxmlformats.org/officeDocument/2006/relationships/hyperlink" Target="https://www.roly.es/model_PA5096" TargetMode="External"/><Relationship Id="rId114" Type="http://schemas.openxmlformats.org/officeDocument/2006/relationships/hyperlink" Target="https://www.roly.es/model_PA9250" TargetMode="External"/><Relationship Id="rId60" Type="http://schemas.openxmlformats.org/officeDocument/2006/relationships/hyperlink" Target="https://www.roly.es/model_BE8400" TargetMode="External"/><Relationship Id="rId81" Type="http://schemas.openxmlformats.org/officeDocument/2006/relationships/hyperlink" Target="https://www.roly.es/model_BA9092" TargetMode="External"/><Relationship Id="rId135" Type="http://schemas.openxmlformats.org/officeDocument/2006/relationships/hyperlink" Target="https://www.roly.es/model_CA0427" TargetMode="External"/><Relationship Id="rId156" Type="http://schemas.openxmlformats.org/officeDocument/2006/relationships/hyperlink" Target="https://www.roly.es/model_SU1109" TargetMode="External"/><Relationship Id="rId177" Type="http://schemas.openxmlformats.org/officeDocument/2006/relationships/hyperlink" Target="https://www.roly.es/model_CQ1108" TargetMode="External"/><Relationship Id="rId198" Type="http://schemas.openxmlformats.org/officeDocument/2006/relationships/hyperlink" Target="https://www.roly.es/model_ZL8385" TargetMode="External"/><Relationship Id="rId202" Type="http://schemas.openxmlformats.org/officeDocument/2006/relationships/hyperlink" Target="https://www.roly.es/model_PO0401" TargetMode="External"/><Relationship Id="rId223" Type="http://schemas.openxmlformats.org/officeDocument/2006/relationships/hyperlink" Target="https://stamina-shop.com/model_MO1354" TargetMode="External"/><Relationship Id="rId244" Type="http://schemas.openxmlformats.org/officeDocument/2006/relationships/hyperlink" Target="https://stamina-shop.com/model_AB1234" TargetMode="External"/><Relationship Id="rId18" Type="http://schemas.openxmlformats.org/officeDocument/2006/relationships/hyperlink" Target="https://www.roly.es/model_HV9303" TargetMode="External"/><Relationship Id="rId39" Type="http://schemas.openxmlformats.org/officeDocument/2006/relationships/hyperlink" Target="https://www.roly.es/model_HV9303" TargetMode="External"/><Relationship Id="rId50" Type="http://schemas.openxmlformats.org/officeDocument/2006/relationships/hyperlink" Target="https://www.roly.es/model_CM5504" TargetMode="External"/><Relationship Id="rId104" Type="http://schemas.openxmlformats.org/officeDocument/2006/relationships/hyperlink" Target="https://www.roly.es/model_DE9125" TargetMode="External"/><Relationship Id="rId125" Type="http://schemas.openxmlformats.org/officeDocument/2006/relationships/hyperlink" Target="https://www.roly.es/model_CA6502" TargetMode="External"/><Relationship Id="rId146" Type="http://schemas.openxmlformats.org/officeDocument/2006/relationships/hyperlink" Target="https://www.roly.es/model_PO6609" TargetMode="External"/><Relationship Id="rId167" Type="http://schemas.openxmlformats.org/officeDocument/2006/relationships/hyperlink" Target="https://www.roly.es/model_SS6437" TargetMode="External"/><Relationship Id="rId188" Type="http://schemas.openxmlformats.org/officeDocument/2006/relationships/hyperlink" Target="https://www.roly.es/model_BO7121" TargetMode="External"/><Relationship Id="rId71" Type="http://schemas.openxmlformats.org/officeDocument/2006/relationships/hyperlink" Target="https://www.roly.es/model_PA9097" TargetMode="External"/><Relationship Id="rId92" Type="http://schemas.openxmlformats.org/officeDocument/2006/relationships/hyperlink" Target="https://www.roly.es/model_CM5504" TargetMode="External"/><Relationship Id="rId213" Type="http://schemas.openxmlformats.org/officeDocument/2006/relationships/hyperlink" Target="https://stamina-shop.com/model_GO1282" TargetMode="External"/><Relationship Id="rId234" Type="http://schemas.openxmlformats.org/officeDocument/2006/relationships/hyperlink" Target="https://stamina-shop.com/model_TO1492" TargetMode="External"/><Relationship Id="rId2" Type="http://schemas.openxmlformats.org/officeDocument/2006/relationships/hyperlink" Target="https://www.roly.es/model_CA6647" TargetMode="External"/><Relationship Id="rId29" Type="http://schemas.openxmlformats.org/officeDocument/2006/relationships/hyperlink" Target="https://www.roly.es/model_HV9319" TargetMode="External"/><Relationship Id="rId40" Type="http://schemas.openxmlformats.org/officeDocument/2006/relationships/hyperlink" Target="https://www.roly.es/model_FR9400" TargetMode="External"/><Relationship Id="rId115" Type="http://schemas.openxmlformats.org/officeDocument/2006/relationships/hyperlink" Target="https://www.roly.es/model_DE9139" TargetMode="External"/><Relationship Id="rId136" Type="http://schemas.openxmlformats.org/officeDocument/2006/relationships/hyperlink" Target="https://www.roly.es/model_CA0428" TargetMode="External"/><Relationship Id="rId157" Type="http://schemas.openxmlformats.org/officeDocument/2006/relationships/hyperlink" Target="https://www.roly.es/model_SU1112" TargetMode="External"/><Relationship Id="rId178" Type="http://schemas.openxmlformats.org/officeDocument/2006/relationships/hyperlink" Target="https://www.roly.es/model_CB5201" TargetMode="External"/><Relationship Id="rId61" Type="http://schemas.openxmlformats.org/officeDocument/2006/relationships/hyperlink" Target="https://www.roly.es/model_PA9206" TargetMode="External"/><Relationship Id="rId82" Type="http://schemas.openxmlformats.org/officeDocument/2006/relationships/hyperlink" Target="https://www.roly.es/model_PA9088" TargetMode="External"/><Relationship Id="rId199" Type="http://schemas.openxmlformats.org/officeDocument/2006/relationships/hyperlink" Target="https://www.roly.es/model_CA0430" TargetMode="External"/><Relationship Id="rId203" Type="http://schemas.openxmlformats.org/officeDocument/2006/relationships/hyperlink" Target="https://www.roly.es/model_CA0432" TargetMode="External"/><Relationship Id="rId19" Type="http://schemas.openxmlformats.org/officeDocument/2006/relationships/hyperlink" Target="https://www.roly.es/model_HV9316" TargetMode="External"/><Relationship Id="rId224" Type="http://schemas.openxmlformats.org/officeDocument/2006/relationships/hyperlink" Target="https://stamina-shop.com/model_MO1048" TargetMode="External"/><Relationship Id="rId245" Type="http://schemas.openxmlformats.org/officeDocument/2006/relationships/hyperlink" Target="https://stamina-shop.com/model_TB1256" TargetMode="External"/><Relationship Id="rId30" Type="http://schemas.openxmlformats.org/officeDocument/2006/relationships/hyperlink" Target="https://www.roly.es/model_HV9317" TargetMode="External"/><Relationship Id="rId105" Type="http://schemas.openxmlformats.org/officeDocument/2006/relationships/hyperlink" Target="https://www.roly.es/model_DE9123" TargetMode="External"/><Relationship Id="rId126" Type="http://schemas.openxmlformats.org/officeDocument/2006/relationships/hyperlink" Target="https://www.roly.es/model_CA6554" TargetMode="External"/><Relationship Id="rId147" Type="http://schemas.openxmlformats.org/officeDocument/2006/relationships/hyperlink" Target="https://www.roly.es/model_PO6642" TargetMode="External"/><Relationship Id="rId168" Type="http://schemas.openxmlformats.org/officeDocument/2006/relationships/hyperlink" Target="https://www.roly.es/model_SS6428" TargetMode="External"/><Relationship Id="rId51" Type="http://schemas.openxmlformats.org/officeDocument/2006/relationships/hyperlink" Target="https://www.roly.es/model_CC9111" TargetMode="External"/><Relationship Id="rId72" Type="http://schemas.openxmlformats.org/officeDocument/2006/relationships/hyperlink" Target="https://www.roly.es/model_BA9094" TargetMode="External"/><Relationship Id="rId93" Type="http://schemas.openxmlformats.org/officeDocument/2006/relationships/hyperlink" Target="https://www.roly.es/model_CM5507" TargetMode="External"/><Relationship Id="rId189" Type="http://schemas.openxmlformats.org/officeDocument/2006/relationships/hyperlink" Target="https://www.roly.es/model_CA6503" TargetMode="External"/><Relationship Id="rId3" Type="http://schemas.openxmlformats.org/officeDocument/2006/relationships/hyperlink" Target="https://www.roly.es/model_CA6545" TargetMode="External"/><Relationship Id="rId214" Type="http://schemas.openxmlformats.org/officeDocument/2006/relationships/hyperlink" Target="https://stamina-shop.com/model_GO7033" TargetMode="External"/><Relationship Id="rId235" Type="http://schemas.openxmlformats.org/officeDocument/2006/relationships/hyperlink" Target="https://stamina-shop.com/model_NA3990" TargetMode="External"/><Relationship Id="rId116" Type="http://schemas.openxmlformats.org/officeDocument/2006/relationships/hyperlink" Target="https://www.roly.es/model_PA9146" TargetMode="External"/><Relationship Id="rId137" Type="http://schemas.openxmlformats.org/officeDocument/2006/relationships/hyperlink" Target="https://www.roly.es/model_PO0404" TargetMode="External"/><Relationship Id="rId158" Type="http://schemas.openxmlformats.org/officeDocument/2006/relationships/hyperlink" Target="https://www.roly.es/model_SU1117" TargetMode="External"/><Relationship Id="rId20" Type="http://schemas.openxmlformats.org/officeDocument/2006/relationships/hyperlink" Target="https://www.roly.es/model_HV9313" TargetMode="External"/><Relationship Id="rId41" Type="http://schemas.openxmlformats.org/officeDocument/2006/relationships/hyperlink" Target="https://www.roly.es/model_FR9402" TargetMode="External"/><Relationship Id="rId62" Type="http://schemas.openxmlformats.org/officeDocument/2006/relationships/hyperlink" Target="https://www.roly.es/model_SU8413" TargetMode="External"/><Relationship Id="rId83" Type="http://schemas.openxmlformats.org/officeDocument/2006/relationships/hyperlink" Target="https://www.roly.es/model_GR9090" TargetMode="External"/><Relationship Id="rId179" Type="http://schemas.openxmlformats.org/officeDocument/2006/relationships/hyperlink" Target="https://www.roly.es/model_CB5202" TargetMode="External"/><Relationship Id="rId190" Type="http://schemas.openxmlformats.org/officeDocument/2006/relationships/hyperlink" Target="https://www.roly.es/model_PA9110" TargetMode="External"/><Relationship Id="rId204" Type="http://schemas.openxmlformats.org/officeDocument/2006/relationships/hyperlink" Target="https://stamina-shop.com/model_GO7019" TargetMode="External"/><Relationship Id="rId225" Type="http://schemas.openxmlformats.org/officeDocument/2006/relationships/hyperlink" Target="https://stamina-shop.com/model_MO1526" TargetMode="External"/><Relationship Id="rId246" Type="http://schemas.openxmlformats.org/officeDocument/2006/relationships/hyperlink" Target="https://stamina-shop.com/model_TB1194" TargetMode="External"/><Relationship Id="rId106" Type="http://schemas.openxmlformats.org/officeDocument/2006/relationships/hyperlink" Target="https://www.roly.es/model_DE9124" TargetMode="External"/><Relationship Id="rId127" Type="http://schemas.openxmlformats.org/officeDocument/2006/relationships/hyperlink" Target="https://www.roly.es/model_CA6597" TargetMode="External"/><Relationship Id="rId10" Type="http://schemas.openxmlformats.org/officeDocument/2006/relationships/hyperlink" Target="https://www.roly.es/model_HV9303" TargetMode="External"/><Relationship Id="rId31" Type="http://schemas.openxmlformats.org/officeDocument/2006/relationships/hyperlink" Target="https://www.roly.es/model_HV9303" TargetMode="External"/><Relationship Id="rId52" Type="http://schemas.openxmlformats.org/officeDocument/2006/relationships/hyperlink" Target="https://www.roly.es/model_BE6715" TargetMode="External"/><Relationship Id="rId73" Type="http://schemas.openxmlformats.org/officeDocument/2006/relationships/hyperlink" Target="https://www.roly.es/model_BA9093" TargetMode="External"/><Relationship Id="rId94" Type="http://schemas.openxmlformats.org/officeDocument/2006/relationships/hyperlink" Target="https://www.roly.es/model_CM5068" TargetMode="External"/><Relationship Id="rId148" Type="http://schemas.openxmlformats.org/officeDocument/2006/relationships/hyperlink" Target="https://www.roly.es/model_PO6644" TargetMode="External"/><Relationship Id="rId169" Type="http://schemas.openxmlformats.org/officeDocument/2006/relationships/hyperlink" Target="https://www.roly.es/model_SS6435"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roly.es/model_PA8415" TargetMode="External"/><Relationship Id="rId21" Type="http://schemas.openxmlformats.org/officeDocument/2006/relationships/hyperlink" Target="https://www.roly.es/model_CA8411" TargetMode="External"/><Relationship Id="rId42" Type="http://schemas.openxmlformats.org/officeDocument/2006/relationships/hyperlink" Target="https://www.roly.es/model_BA9092" TargetMode="External"/><Relationship Id="rId63" Type="http://schemas.openxmlformats.org/officeDocument/2006/relationships/hyperlink" Target="https://www.roly.es/model_HV9307" TargetMode="External"/><Relationship Id="rId84" Type="http://schemas.openxmlformats.org/officeDocument/2006/relationships/hyperlink" Target="https://www.roly.es/model_PA9102" TargetMode="External"/><Relationship Id="rId138" Type="http://schemas.openxmlformats.org/officeDocument/2006/relationships/hyperlink" Target="https://www.roly.es/model_ZL8384" TargetMode="External"/><Relationship Id="rId159" Type="http://schemas.openxmlformats.org/officeDocument/2006/relationships/hyperlink" Target="https://www.roly.es/model_PO0421" TargetMode="External"/><Relationship Id="rId170" Type="http://schemas.openxmlformats.org/officeDocument/2006/relationships/hyperlink" Target="https://www.roly.es/model_PO6632" TargetMode="External"/><Relationship Id="rId191" Type="http://schemas.openxmlformats.org/officeDocument/2006/relationships/hyperlink" Target="https://www.roly.es/model_RA5091" TargetMode="External"/><Relationship Id="rId205" Type="http://schemas.openxmlformats.org/officeDocument/2006/relationships/hyperlink" Target="https://www.roly.es/model_CA1218" TargetMode="External"/><Relationship Id="rId107" Type="http://schemas.openxmlformats.org/officeDocument/2006/relationships/hyperlink" Target="https://www.roly.es/model_CM5503" TargetMode="External"/><Relationship Id="rId11" Type="http://schemas.openxmlformats.org/officeDocument/2006/relationships/hyperlink" Target="https://www.roly.es/model_CA6690" TargetMode="External"/><Relationship Id="rId32" Type="http://schemas.openxmlformats.org/officeDocument/2006/relationships/hyperlink" Target="https://www.roly.es/model_BA9094" TargetMode="External"/><Relationship Id="rId53" Type="http://schemas.openxmlformats.org/officeDocument/2006/relationships/hyperlink" Target="https://www.roly.es/model_CA6690" TargetMode="External"/><Relationship Id="rId74" Type="http://schemas.openxmlformats.org/officeDocument/2006/relationships/hyperlink" Target="https://www.roly.es/model_HV9315" TargetMode="External"/><Relationship Id="rId128" Type="http://schemas.openxmlformats.org/officeDocument/2006/relationships/hyperlink" Target="https://www.roly.es/model_DE9129" TargetMode="External"/><Relationship Id="rId149" Type="http://schemas.openxmlformats.org/officeDocument/2006/relationships/hyperlink" Target="https://www.roly.es/model_CA6661" TargetMode="External"/><Relationship Id="rId5" Type="http://schemas.openxmlformats.org/officeDocument/2006/relationships/hyperlink" Target="https://www.roly.es/model_CA6536" TargetMode="External"/><Relationship Id="rId95" Type="http://schemas.openxmlformats.org/officeDocument/2006/relationships/hyperlink" Target="https://www.roly.es/model_PA9205" TargetMode="External"/><Relationship Id="rId160" Type="http://schemas.openxmlformats.org/officeDocument/2006/relationships/hyperlink" Target="https://www.roly.es/model_PO0409" TargetMode="External"/><Relationship Id="rId181" Type="http://schemas.openxmlformats.org/officeDocument/2006/relationships/hyperlink" Target="https://www.roly.es/model_RA1099" TargetMode="External"/><Relationship Id="rId216" Type="http://schemas.openxmlformats.org/officeDocument/2006/relationships/hyperlink" Target="https://www.roly.es/model_RA1199" TargetMode="External"/><Relationship Id="rId22" Type="http://schemas.openxmlformats.org/officeDocument/2006/relationships/hyperlink" Target="https://www.roly.es/model_SU8413" TargetMode="External"/><Relationship Id="rId43" Type="http://schemas.openxmlformats.org/officeDocument/2006/relationships/hyperlink" Target="https://www.roly.es/model_PA9088" TargetMode="External"/><Relationship Id="rId64" Type="http://schemas.openxmlformats.org/officeDocument/2006/relationships/hyperlink" Target="https://www.roly.es/model_HV9309" TargetMode="External"/><Relationship Id="rId118" Type="http://schemas.openxmlformats.org/officeDocument/2006/relationships/hyperlink" Target="https://www.roly.es/model_PA8416" TargetMode="External"/><Relationship Id="rId139" Type="http://schemas.openxmlformats.org/officeDocument/2006/relationships/hyperlink" Target="https://www.roly.es/model_ZL8385" TargetMode="External"/><Relationship Id="rId85" Type="http://schemas.openxmlformats.org/officeDocument/2006/relationships/hyperlink" Target="https://www.roly.es/model_BE9005" TargetMode="External"/><Relationship Id="rId150" Type="http://schemas.openxmlformats.org/officeDocument/2006/relationships/hyperlink" Target="https://www.roly.es/model_CA6532" TargetMode="External"/><Relationship Id="rId171" Type="http://schemas.openxmlformats.org/officeDocument/2006/relationships/hyperlink" Target="https://www.roly.es/model_PO6634" TargetMode="External"/><Relationship Id="rId192" Type="http://schemas.openxmlformats.org/officeDocument/2006/relationships/hyperlink" Target="https://www.roly.es/model_RA5094" TargetMode="External"/><Relationship Id="rId206" Type="http://schemas.openxmlformats.org/officeDocument/2006/relationships/hyperlink" Target="https://www.roly.es/model_CA0407" TargetMode="External"/><Relationship Id="rId12" Type="http://schemas.openxmlformats.org/officeDocument/2006/relationships/hyperlink" Target="https://www.roly.es/model_HV9302" TargetMode="External"/><Relationship Id="rId33" Type="http://schemas.openxmlformats.org/officeDocument/2006/relationships/hyperlink" Target="https://www.roly.es/model_BA9093" TargetMode="External"/><Relationship Id="rId108" Type="http://schemas.openxmlformats.org/officeDocument/2006/relationships/hyperlink" Target="https://www.roly.es/model_CM5504" TargetMode="External"/><Relationship Id="rId129" Type="http://schemas.openxmlformats.org/officeDocument/2006/relationships/hyperlink" Target="https://www.roly.es/model_PA9250" TargetMode="External"/><Relationship Id="rId54" Type="http://schemas.openxmlformats.org/officeDocument/2006/relationships/hyperlink" Target="https://www.roly.es/model_CA6690" TargetMode="External"/><Relationship Id="rId75" Type="http://schemas.openxmlformats.org/officeDocument/2006/relationships/hyperlink" Target="https://www.roly.es/model_HV9302" TargetMode="External"/><Relationship Id="rId96" Type="http://schemas.openxmlformats.org/officeDocument/2006/relationships/hyperlink" Target="https://www.roly.es/model_BM8401" TargetMode="External"/><Relationship Id="rId140" Type="http://schemas.openxmlformats.org/officeDocument/2006/relationships/hyperlink" Target="https://www.roly.es/model_PO6638" TargetMode="External"/><Relationship Id="rId161" Type="http://schemas.openxmlformats.org/officeDocument/2006/relationships/hyperlink" Target="https://www.roly.es/model_CA1217" TargetMode="External"/><Relationship Id="rId182" Type="http://schemas.openxmlformats.org/officeDocument/2006/relationships/hyperlink" Target="https://www.roly.es/model_SM1095" TargetMode="External"/><Relationship Id="rId217" Type="http://schemas.openxmlformats.org/officeDocument/2006/relationships/hyperlink" Target="https://www.roly.es/model_CB5074" TargetMode="External"/><Relationship Id="rId6" Type="http://schemas.openxmlformats.org/officeDocument/2006/relationships/hyperlink" Target="https://www.roly.es/model_PO6638" TargetMode="External"/><Relationship Id="rId23" Type="http://schemas.openxmlformats.org/officeDocument/2006/relationships/hyperlink" Target="https://www.roly.es/model_PO8410" TargetMode="External"/><Relationship Id="rId119" Type="http://schemas.openxmlformats.org/officeDocument/2006/relationships/hyperlink" Target="https://www.roly.es/model_PA9145" TargetMode="External"/><Relationship Id="rId44" Type="http://schemas.openxmlformats.org/officeDocument/2006/relationships/hyperlink" Target="https://www.roly.es/model_GR9090" TargetMode="External"/><Relationship Id="rId65" Type="http://schemas.openxmlformats.org/officeDocument/2006/relationships/hyperlink" Target="https://www.roly.es/model_HV9304" TargetMode="External"/><Relationship Id="rId86" Type="http://schemas.openxmlformats.org/officeDocument/2006/relationships/hyperlink" Target="https://www.roly.es/model_PA9118" TargetMode="External"/><Relationship Id="rId130" Type="http://schemas.openxmlformats.org/officeDocument/2006/relationships/hyperlink" Target="https://www.roly.es/model_DE9139" TargetMode="External"/><Relationship Id="rId151" Type="http://schemas.openxmlformats.org/officeDocument/2006/relationships/hyperlink" Target="https://www.roly.es/model_CA6646" TargetMode="External"/><Relationship Id="rId172" Type="http://schemas.openxmlformats.org/officeDocument/2006/relationships/hyperlink" Target="https://www.roly.es/model_PO6638" TargetMode="External"/><Relationship Id="rId193" Type="http://schemas.openxmlformats.org/officeDocument/2006/relationships/hyperlink" Target="https://www.roly.es/model_RA5095" TargetMode="External"/><Relationship Id="rId207" Type="http://schemas.openxmlformats.org/officeDocument/2006/relationships/hyperlink" Target="https://www.roly.es/model_PA9110" TargetMode="External"/><Relationship Id="rId13" Type="http://schemas.openxmlformats.org/officeDocument/2006/relationships/hyperlink" Target="https://www.roly.es/model_FR9401" TargetMode="External"/><Relationship Id="rId109" Type="http://schemas.openxmlformats.org/officeDocument/2006/relationships/hyperlink" Target="https://www.roly.es/model_CM5507" TargetMode="External"/><Relationship Id="rId34" Type="http://schemas.openxmlformats.org/officeDocument/2006/relationships/hyperlink" Target="https://www.roly.es/model_PA9087" TargetMode="External"/><Relationship Id="rId55" Type="http://schemas.openxmlformats.org/officeDocument/2006/relationships/hyperlink" Target="https://www.roly.es/model_HV9302" TargetMode="External"/><Relationship Id="rId76" Type="http://schemas.openxmlformats.org/officeDocument/2006/relationships/hyperlink" Target="https://www.roly.es/model_HV9318" TargetMode="External"/><Relationship Id="rId97" Type="http://schemas.openxmlformats.org/officeDocument/2006/relationships/hyperlink" Target="https://www.roly.es/model_BE6725" TargetMode="External"/><Relationship Id="rId120" Type="http://schemas.openxmlformats.org/officeDocument/2006/relationships/hyperlink" Target="https://www.roly.es/model_DE9125" TargetMode="External"/><Relationship Id="rId141" Type="http://schemas.openxmlformats.org/officeDocument/2006/relationships/hyperlink" Target="https://www.roly.es/model_PO6638" TargetMode="External"/><Relationship Id="rId7" Type="http://schemas.openxmlformats.org/officeDocument/2006/relationships/hyperlink" Target="https://www.roly.es/model_CA0305" TargetMode="External"/><Relationship Id="rId162" Type="http://schemas.openxmlformats.org/officeDocument/2006/relationships/hyperlink" Target="https://www.roly.es/model_CA1204" TargetMode="External"/><Relationship Id="rId183" Type="http://schemas.openxmlformats.org/officeDocument/2006/relationships/hyperlink" Target="https://www.roly.es/model_SM1195" TargetMode="External"/><Relationship Id="rId218" Type="http://schemas.openxmlformats.org/officeDocument/2006/relationships/hyperlink" Target="https://www.roly.es/model_CA6554" TargetMode="External"/><Relationship Id="rId24" Type="http://schemas.openxmlformats.org/officeDocument/2006/relationships/hyperlink" Target="https://www.roly.es/model_CQ8412" TargetMode="External"/><Relationship Id="rId45" Type="http://schemas.openxmlformats.org/officeDocument/2006/relationships/hyperlink" Target="https://www.roly.es/model_GR9083" TargetMode="External"/><Relationship Id="rId66" Type="http://schemas.openxmlformats.org/officeDocument/2006/relationships/hyperlink" Target="https://www.roly.es/model_HV9302" TargetMode="External"/><Relationship Id="rId87" Type="http://schemas.openxmlformats.org/officeDocument/2006/relationships/hyperlink" Target="https://www.roly.es/model_PA9108" TargetMode="External"/><Relationship Id="rId110" Type="http://schemas.openxmlformats.org/officeDocument/2006/relationships/hyperlink" Target="https://www.roly.es/model_CM5068" TargetMode="External"/><Relationship Id="rId131" Type="http://schemas.openxmlformats.org/officeDocument/2006/relationships/hyperlink" Target="https://www.roly.es/model_PA9146" TargetMode="External"/><Relationship Id="rId152" Type="http://schemas.openxmlformats.org/officeDocument/2006/relationships/hyperlink" Target="https://www.roly.es/model_CA6691" TargetMode="External"/><Relationship Id="rId173" Type="http://schemas.openxmlformats.org/officeDocument/2006/relationships/hyperlink" Target="https://www.roly.es/model_PO6629" TargetMode="External"/><Relationship Id="rId194" Type="http://schemas.openxmlformats.org/officeDocument/2006/relationships/hyperlink" Target="https://www.roly.es/model_CQ1120" TargetMode="External"/><Relationship Id="rId208" Type="http://schemas.openxmlformats.org/officeDocument/2006/relationships/hyperlink" Target="https://www.roly.es/model_CA0430" TargetMode="External"/><Relationship Id="rId14" Type="http://schemas.openxmlformats.org/officeDocument/2006/relationships/hyperlink" Target="https://www.roly.es/model_HV9302" TargetMode="External"/><Relationship Id="rId30" Type="http://schemas.openxmlformats.org/officeDocument/2006/relationships/hyperlink" Target="https://www.roly.es/model_CA9098" TargetMode="External"/><Relationship Id="rId35" Type="http://schemas.openxmlformats.org/officeDocument/2006/relationships/hyperlink" Target="https://www.roly.es/model_GO9082" TargetMode="External"/><Relationship Id="rId56" Type="http://schemas.openxmlformats.org/officeDocument/2006/relationships/hyperlink" Target="https://www.roly.es/model_HV9303" TargetMode="External"/><Relationship Id="rId77" Type="http://schemas.openxmlformats.org/officeDocument/2006/relationships/hyperlink" Target="https://www.roly.es/model_HV9302" TargetMode="External"/><Relationship Id="rId100" Type="http://schemas.openxmlformats.org/officeDocument/2006/relationships/hyperlink" Target="https://www.roly.es/model_PA8407" TargetMode="External"/><Relationship Id="rId105" Type="http://schemas.openxmlformats.org/officeDocument/2006/relationships/hyperlink" Target="https://www.roly.es/model_CA6545" TargetMode="External"/><Relationship Id="rId126" Type="http://schemas.openxmlformats.org/officeDocument/2006/relationships/hyperlink" Target="https://www.roly.es/model_DE9126" TargetMode="External"/><Relationship Id="rId147" Type="http://schemas.openxmlformats.org/officeDocument/2006/relationships/hyperlink" Target="https://www.roly.es/model_CA6597" TargetMode="External"/><Relationship Id="rId168" Type="http://schemas.openxmlformats.org/officeDocument/2006/relationships/hyperlink" Target="https://www.roly.es/model_PO6644" TargetMode="External"/><Relationship Id="rId8" Type="http://schemas.openxmlformats.org/officeDocument/2006/relationships/hyperlink" Target="https://www.roly.es/model_CA6690" TargetMode="External"/><Relationship Id="rId51" Type="http://schemas.openxmlformats.org/officeDocument/2006/relationships/hyperlink" Target="https://www.roly.es/model_CA6545" TargetMode="External"/><Relationship Id="rId72" Type="http://schemas.openxmlformats.org/officeDocument/2006/relationships/hyperlink" Target="https://www.roly.es/model_CC9311" TargetMode="External"/><Relationship Id="rId93" Type="http://schemas.openxmlformats.org/officeDocument/2006/relationships/hyperlink" Target="https://www.roly.es/model_BE6715" TargetMode="External"/><Relationship Id="rId98" Type="http://schemas.openxmlformats.org/officeDocument/2006/relationships/hyperlink" Target="https://www.roly.es/model_BE6725" TargetMode="External"/><Relationship Id="rId121" Type="http://schemas.openxmlformats.org/officeDocument/2006/relationships/hyperlink" Target="https://www.roly.es/model_DE9123" TargetMode="External"/><Relationship Id="rId142" Type="http://schemas.openxmlformats.org/officeDocument/2006/relationships/hyperlink" Target="https://www.roly.es/model_SS6432" TargetMode="External"/><Relationship Id="rId163" Type="http://schemas.openxmlformats.org/officeDocument/2006/relationships/hyperlink" Target="https://www.roly.es/model_CA1219" TargetMode="External"/><Relationship Id="rId184" Type="http://schemas.openxmlformats.org/officeDocument/2006/relationships/hyperlink" Target="https://www.roly.es/model_CQ6412" TargetMode="External"/><Relationship Id="rId189" Type="http://schemas.openxmlformats.org/officeDocument/2006/relationships/hyperlink" Target="https://www.roly.es/model_SS6435" TargetMode="External"/><Relationship Id="rId219" Type="http://schemas.openxmlformats.org/officeDocument/2006/relationships/printerSettings" Target="../printerSettings/printerSettings2.bin"/><Relationship Id="rId3" Type="http://schemas.openxmlformats.org/officeDocument/2006/relationships/hyperlink" Target="https://www.roly.es/model_CA6597" TargetMode="External"/><Relationship Id="rId214" Type="http://schemas.openxmlformats.org/officeDocument/2006/relationships/hyperlink" Target="https://www.roly.es/model_CB5200" TargetMode="External"/><Relationship Id="rId25" Type="http://schemas.openxmlformats.org/officeDocument/2006/relationships/hyperlink" Target="https://www.roly.es/model_BE8409" TargetMode="External"/><Relationship Id="rId46" Type="http://schemas.openxmlformats.org/officeDocument/2006/relationships/hyperlink" Target="https://www.roly.es/model_CA9091" TargetMode="External"/><Relationship Id="rId67" Type="http://schemas.openxmlformats.org/officeDocument/2006/relationships/hyperlink" Target="https://www.roly.es/model_HV9303" TargetMode="External"/><Relationship Id="rId116" Type="http://schemas.openxmlformats.org/officeDocument/2006/relationships/hyperlink" Target="https://www.roly.es/model_JE8418" TargetMode="External"/><Relationship Id="rId137" Type="http://schemas.openxmlformats.org/officeDocument/2006/relationships/hyperlink" Target="https://www.roly.es/model_ZL8383" TargetMode="External"/><Relationship Id="rId158" Type="http://schemas.openxmlformats.org/officeDocument/2006/relationships/hyperlink" Target="https://www.roly.es/model_PO0410" TargetMode="External"/><Relationship Id="rId20" Type="http://schemas.openxmlformats.org/officeDocument/2006/relationships/hyperlink" Target="https://www.roly.es/model_CA6647" TargetMode="External"/><Relationship Id="rId41" Type="http://schemas.openxmlformats.org/officeDocument/2006/relationships/hyperlink" Target="https://www.roly.es/model_CA6536" TargetMode="External"/><Relationship Id="rId62" Type="http://schemas.openxmlformats.org/officeDocument/2006/relationships/hyperlink" Target="https://www.roly.es/model_HV9305" TargetMode="External"/><Relationship Id="rId83" Type="http://schemas.openxmlformats.org/officeDocument/2006/relationships/hyperlink" Target="https://www.roly.es/model_HV9323" TargetMode="External"/><Relationship Id="rId88" Type="http://schemas.openxmlformats.org/officeDocument/2006/relationships/hyperlink" Target="https://www.roly.es/model_PA9200" TargetMode="External"/><Relationship Id="rId111" Type="http://schemas.openxmlformats.org/officeDocument/2006/relationships/hyperlink" Target="https://www.roly.es/model_CQ4500" TargetMode="External"/><Relationship Id="rId132" Type="http://schemas.openxmlformats.org/officeDocument/2006/relationships/hyperlink" Target="https://www.roly.es/model_CM5061" TargetMode="External"/><Relationship Id="rId153" Type="http://schemas.openxmlformats.org/officeDocument/2006/relationships/hyperlink" Target="https://www.roly.es/model_CA6689" TargetMode="External"/><Relationship Id="rId174" Type="http://schemas.openxmlformats.org/officeDocument/2006/relationships/hyperlink" Target="https://www.roly.es/model_PO6636" TargetMode="External"/><Relationship Id="rId179" Type="http://schemas.openxmlformats.org/officeDocument/2006/relationships/hyperlink" Target="https://www.roly.es/model_CQ6439" TargetMode="External"/><Relationship Id="rId195" Type="http://schemas.openxmlformats.org/officeDocument/2006/relationships/hyperlink" Target="https://www.roly.es/model_RA5097" TargetMode="External"/><Relationship Id="rId209" Type="http://schemas.openxmlformats.org/officeDocument/2006/relationships/hyperlink" Target="https://www.roly.es/model_CA0431" TargetMode="External"/><Relationship Id="rId190" Type="http://schemas.openxmlformats.org/officeDocument/2006/relationships/hyperlink" Target="https://www.roly.es/model_RA5090" TargetMode="External"/><Relationship Id="rId204" Type="http://schemas.openxmlformats.org/officeDocument/2006/relationships/hyperlink" Target="https://www.roly.es/model_SS6433" TargetMode="External"/><Relationship Id="rId15" Type="http://schemas.openxmlformats.org/officeDocument/2006/relationships/hyperlink" Target="https://www.roly.es/model_HV9303" TargetMode="External"/><Relationship Id="rId36" Type="http://schemas.openxmlformats.org/officeDocument/2006/relationships/hyperlink" Target="https://www.roly.es/model_CA9085" TargetMode="External"/><Relationship Id="rId57" Type="http://schemas.openxmlformats.org/officeDocument/2006/relationships/hyperlink" Target="https://www.roly.es/model_HV9300" TargetMode="External"/><Relationship Id="rId106" Type="http://schemas.openxmlformats.org/officeDocument/2006/relationships/hyperlink" Target="https://www.roly.es/model_DE9128" TargetMode="External"/><Relationship Id="rId127" Type="http://schemas.openxmlformats.org/officeDocument/2006/relationships/hyperlink" Target="https://www.roly.es/model_DE9127" TargetMode="External"/><Relationship Id="rId10" Type="http://schemas.openxmlformats.org/officeDocument/2006/relationships/hyperlink" Target="https://www.roly.es/model_FR9404" TargetMode="External"/><Relationship Id="rId31" Type="http://schemas.openxmlformats.org/officeDocument/2006/relationships/hyperlink" Target="https://www.roly.es/model_PA9097" TargetMode="External"/><Relationship Id="rId52" Type="http://schemas.openxmlformats.org/officeDocument/2006/relationships/hyperlink" Target="https://www.roly.es/model_PO6638" TargetMode="External"/><Relationship Id="rId73" Type="http://schemas.openxmlformats.org/officeDocument/2006/relationships/hyperlink" Target="https://www.roly.es/model_HV9312" TargetMode="External"/><Relationship Id="rId78" Type="http://schemas.openxmlformats.org/officeDocument/2006/relationships/hyperlink" Target="https://www.roly.es/model_HV9319" TargetMode="External"/><Relationship Id="rId94" Type="http://schemas.openxmlformats.org/officeDocument/2006/relationships/hyperlink" Target="https://www.roly.es/model_PA9100" TargetMode="External"/><Relationship Id="rId99" Type="http://schemas.openxmlformats.org/officeDocument/2006/relationships/hyperlink" Target="https://www.roly.es/model_BE9005" TargetMode="External"/><Relationship Id="rId101" Type="http://schemas.openxmlformats.org/officeDocument/2006/relationships/hyperlink" Target="https://www.roly.es/model_BE8400" TargetMode="External"/><Relationship Id="rId122" Type="http://schemas.openxmlformats.org/officeDocument/2006/relationships/hyperlink" Target="https://www.roly.es/model_DE9124" TargetMode="External"/><Relationship Id="rId143" Type="http://schemas.openxmlformats.org/officeDocument/2006/relationships/hyperlink" Target="https://www.roly.es/model_CA6681" TargetMode="External"/><Relationship Id="rId148" Type="http://schemas.openxmlformats.org/officeDocument/2006/relationships/hyperlink" Target="https://www.roly.es/model_CA6660" TargetMode="External"/><Relationship Id="rId164" Type="http://schemas.openxmlformats.org/officeDocument/2006/relationships/hyperlink" Target="https://www.roly.es/model_PO6617" TargetMode="External"/><Relationship Id="rId169" Type="http://schemas.openxmlformats.org/officeDocument/2006/relationships/hyperlink" Target="https://www.roly.es/model_PO6607" TargetMode="External"/><Relationship Id="rId185" Type="http://schemas.openxmlformats.org/officeDocument/2006/relationships/hyperlink" Target="https://www.roly.es/model_CQ6413" TargetMode="External"/><Relationship Id="rId4" Type="http://schemas.openxmlformats.org/officeDocument/2006/relationships/hyperlink" Target="https://www.roly.es/model_CA6503" TargetMode="External"/><Relationship Id="rId9" Type="http://schemas.openxmlformats.org/officeDocument/2006/relationships/hyperlink" Target="https://www.roly.es/model_CA6690" TargetMode="External"/><Relationship Id="rId180" Type="http://schemas.openxmlformats.org/officeDocument/2006/relationships/hyperlink" Target="https://www.roly.es/model_RA5093" TargetMode="External"/><Relationship Id="rId210" Type="http://schemas.openxmlformats.org/officeDocument/2006/relationships/hyperlink" Target="https://www.roly.es/model_PO0400" TargetMode="External"/><Relationship Id="rId215" Type="http://schemas.openxmlformats.org/officeDocument/2006/relationships/hyperlink" Target="https://www.roly.es/model_CM5506" TargetMode="External"/><Relationship Id="rId26" Type="http://schemas.openxmlformats.org/officeDocument/2006/relationships/hyperlink" Target="https://www.roly.es/model_CQ8414" TargetMode="External"/><Relationship Id="rId47" Type="http://schemas.openxmlformats.org/officeDocument/2006/relationships/hyperlink" Target="https://www.roly.es/model_CA6503" TargetMode="External"/><Relationship Id="rId68" Type="http://schemas.openxmlformats.org/officeDocument/2006/relationships/hyperlink" Target="https://www.roly.es/model_HV9316" TargetMode="External"/><Relationship Id="rId89" Type="http://schemas.openxmlformats.org/officeDocument/2006/relationships/hyperlink" Target="https://www.roly.es/model_CQ5067" TargetMode="External"/><Relationship Id="rId112" Type="http://schemas.openxmlformats.org/officeDocument/2006/relationships/hyperlink" Target="https://www.roly.es/model_CG8405" TargetMode="External"/><Relationship Id="rId133" Type="http://schemas.openxmlformats.org/officeDocument/2006/relationships/hyperlink" Target="https://www.roly.es/model_CM5161" TargetMode="External"/><Relationship Id="rId154" Type="http://schemas.openxmlformats.org/officeDocument/2006/relationships/hyperlink" Target="https://www.roly.es/model_CA0408" TargetMode="External"/><Relationship Id="rId175" Type="http://schemas.openxmlformats.org/officeDocument/2006/relationships/hyperlink" Target="https://www.roly.es/model_PO5009" TargetMode="External"/><Relationship Id="rId196" Type="http://schemas.openxmlformats.org/officeDocument/2006/relationships/hyperlink" Target="https://www.roly.es/model_CQ5079" TargetMode="External"/><Relationship Id="rId200" Type="http://schemas.openxmlformats.org/officeDocument/2006/relationships/hyperlink" Target="https://www.roly.es/model_LG0405" TargetMode="External"/><Relationship Id="rId16" Type="http://schemas.openxmlformats.org/officeDocument/2006/relationships/hyperlink" Target="https://www.roly.es/model_FR9400" TargetMode="External"/><Relationship Id="rId37" Type="http://schemas.openxmlformats.org/officeDocument/2006/relationships/hyperlink" Target="https://www.roly.es/model_CA9084" TargetMode="External"/><Relationship Id="rId58" Type="http://schemas.openxmlformats.org/officeDocument/2006/relationships/hyperlink" Target="https://www.roly.es/model_HV9301" TargetMode="External"/><Relationship Id="rId79" Type="http://schemas.openxmlformats.org/officeDocument/2006/relationships/hyperlink" Target="https://www.roly.es/model_HV9317" TargetMode="External"/><Relationship Id="rId102" Type="http://schemas.openxmlformats.org/officeDocument/2006/relationships/hyperlink" Target="https://www.roly.es/model_PA9206" TargetMode="External"/><Relationship Id="rId123" Type="http://schemas.openxmlformats.org/officeDocument/2006/relationships/hyperlink" Target="https://www.roly.es/model_PA9106" TargetMode="External"/><Relationship Id="rId144" Type="http://schemas.openxmlformats.org/officeDocument/2006/relationships/hyperlink" Target="https://www.roly.es/model_CA6683" TargetMode="External"/><Relationship Id="rId90" Type="http://schemas.openxmlformats.org/officeDocument/2006/relationships/hyperlink" Target="https://www.roly.es/model_PA5096" TargetMode="External"/><Relationship Id="rId165" Type="http://schemas.openxmlformats.org/officeDocument/2006/relationships/hyperlink" Target="https://www.roly.es/model_PO6618" TargetMode="External"/><Relationship Id="rId186" Type="http://schemas.openxmlformats.org/officeDocument/2006/relationships/hyperlink" Target="https://www.roly.es/model_SS6436" TargetMode="External"/><Relationship Id="rId211" Type="http://schemas.openxmlformats.org/officeDocument/2006/relationships/hyperlink" Target="https://www.roly.es/model_PO0401" TargetMode="External"/><Relationship Id="rId27" Type="http://schemas.openxmlformats.org/officeDocument/2006/relationships/hyperlink" Target="https://www.roly.es/model_PA8408" TargetMode="External"/><Relationship Id="rId48" Type="http://schemas.openxmlformats.org/officeDocument/2006/relationships/hyperlink" Target="https://www.roly.es/model_CM5504" TargetMode="External"/><Relationship Id="rId69" Type="http://schemas.openxmlformats.org/officeDocument/2006/relationships/hyperlink" Target="https://www.roly.es/model_HV9313" TargetMode="External"/><Relationship Id="rId113" Type="http://schemas.openxmlformats.org/officeDocument/2006/relationships/hyperlink" Target="https://www.roly.es/model_CG8406" TargetMode="External"/><Relationship Id="rId134" Type="http://schemas.openxmlformats.org/officeDocument/2006/relationships/hyperlink" Target="https://www.roly.es/model_ZL8380" TargetMode="External"/><Relationship Id="rId80" Type="http://schemas.openxmlformats.org/officeDocument/2006/relationships/hyperlink" Target="https://www.roly.es/model_HV9303" TargetMode="External"/><Relationship Id="rId155" Type="http://schemas.openxmlformats.org/officeDocument/2006/relationships/hyperlink" Target="https://www.roly.es/model_CA0427" TargetMode="External"/><Relationship Id="rId176" Type="http://schemas.openxmlformats.org/officeDocument/2006/relationships/hyperlink" Target="https://www.roly.es/model_SU1109" TargetMode="External"/><Relationship Id="rId197" Type="http://schemas.openxmlformats.org/officeDocument/2006/relationships/hyperlink" Target="https://www.roly.es/model_CQ1108" TargetMode="External"/><Relationship Id="rId201" Type="http://schemas.openxmlformats.org/officeDocument/2006/relationships/hyperlink" Target="https://www.roly.es/model_PA1090" TargetMode="External"/><Relationship Id="rId17" Type="http://schemas.openxmlformats.org/officeDocument/2006/relationships/hyperlink" Target="https://www.roly.es/model_FR9402" TargetMode="External"/><Relationship Id="rId38" Type="http://schemas.openxmlformats.org/officeDocument/2006/relationships/hyperlink" Target="https://www.roly.es/model_PA9086" TargetMode="External"/><Relationship Id="rId59" Type="http://schemas.openxmlformats.org/officeDocument/2006/relationships/hyperlink" Target="https://www.roly.es/model_HV9303" TargetMode="External"/><Relationship Id="rId103" Type="http://schemas.openxmlformats.org/officeDocument/2006/relationships/hyperlink" Target="https://www.roly.es/model_PA9109" TargetMode="External"/><Relationship Id="rId124" Type="http://schemas.openxmlformats.org/officeDocument/2006/relationships/hyperlink" Target="https://www.roly.es/model_PA9107" TargetMode="External"/><Relationship Id="rId70" Type="http://schemas.openxmlformats.org/officeDocument/2006/relationships/hyperlink" Target="https://www.roly.es/model_HV9314" TargetMode="External"/><Relationship Id="rId91" Type="http://schemas.openxmlformats.org/officeDocument/2006/relationships/hyperlink" Target="https://www.roly.es/model_CM5504" TargetMode="External"/><Relationship Id="rId145" Type="http://schemas.openxmlformats.org/officeDocument/2006/relationships/hyperlink" Target="https://www.roly.es/model_CA6503" TargetMode="External"/><Relationship Id="rId166" Type="http://schemas.openxmlformats.org/officeDocument/2006/relationships/hyperlink" Target="https://www.roly.es/model_PO6609" TargetMode="External"/><Relationship Id="rId187" Type="http://schemas.openxmlformats.org/officeDocument/2006/relationships/hyperlink" Target="https://www.roly.es/model_SS6437" TargetMode="External"/><Relationship Id="rId1" Type="http://schemas.openxmlformats.org/officeDocument/2006/relationships/hyperlink" Target="https://www.roly.es/model_CA6699" TargetMode="External"/><Relationship Id="rId212" Type="http://schemas.openxmlformats.org/officeDocument/2006/relationships/hyperlink" Target="https://www.roly.es/model_CA0432" TargetMode="External"/><Relationship Id="rId28" Type="http://schemas.openxmlformats.org/officeDocument/2006/relationships/hyperlink" Target="https://www.roly.es/model_CA6503" TargetMode="External"/><Relationship Id="rId49" Type="http://schemas.openxmlformats.org/officeDocument/2006/relationships/hyperlink" Target="https://www.roly.es/model_PO8403" TargetMode="External"/><Relationship Id="rId114" Type="http://schemas.openxmlformats.org/officeDocument/2006/relationships/hyperlink" Target="https://www.roly.es/model_CM5505" TargetMode="External"/><Relationship Id="rId60" Type="http://schemas.openxmlformats.org/officeDocument/2006/relationships/hyperlink" Target="https://www.roly.es/model_HV9306" TargetMode="External"/><Relationship Id="rId81" Type="http://schemas.openxmlformats.org/officeDocument/2006/relationships/hyperlink" Target="https://www.roly.es/model_HV9320" TargetMode="External"/><Relationship Id="rId135" Type="http://schemas.openxmlformats.org/officeDocument/2006/relationships/hyperlink" Target="https://www.roly.es/model_ZL8381" TargetMode="External"/><Relationship Id="rId156" Type="http://schemas.openxmlformats.org/officeDocument/2006/relationships/hyperlink" Target="https://www.roly.es/model_CA0428" TargetMode="External"/><Relationship Id="rId177" Type="http://schemas.openxmlformats.org/officeDocument/2006/relationships/hyperlink" Target="https://www.roly.es/model_SU1112" TargetMode="External"/><Relationship Id="rId198" Type="http://schemas.openxmlformats.org/officeDocument/2006/relationships/hyperlink" Target="https://www.roly.es/model_CB5201" TargetMode="External"/><Relationship Id="rId202" Type="http://schemas.openxmlformats.org/officeDocument/2006/relationships/hyperlink" Target="https://www.roly.es/model_LG0458" TargetMode="External"/><Relationship Id="rId18" Type="http://schemas.openxmlformats.org/officeDocument/2006/relationships/hyperlink" Target="https://www.roly.es/model_FR9403" TargetMode="External"/><Relationship Id="rId39" Type="http://schemas.openxmlformats.org/officeDocument/2006/relationships/hyperlink" Target="https://www.roly.es/model_CA6503" TargetMode="External"/><Relationship Id="rId50" Type="http://schemas.openxmlformats.org/officeDocument/2006/relationships/hyperlink" Target="https://www.roly.es/model_PO8404" TargetMode="External"/><Relationship Id="rId104" Type="http://schemas.openxmlformats.org/officeDocument/2006/relationships/hyperlink" Target="https://www.roly.es/model_PA9207" TargetMode="External"/><Relationship Id="rId125" Type="http://schemas.openxmlformats.org/officeDocument/2006/relationships/hyperlink" Target="https://www.roly.es/model_PA9251" TargetMode="External"/><Relationship Id="rId146" Type="http://schemas.openxmlformats.org/officeDocument/2006/relationships/hyperlink" Target="https://www.roly.es/model_CA6502" TargetMode="External"/><Relationship Id="rId167" Type="http://schemas.openxmlformats.org/officeDocument/2006/relationships/hyperlink" Target="https://www.roly.es/model_PO6642" TargetMode="External"/><Relationship Id="rId188" Type="http://schemas.openxmlformats.org/officeDocument/2006/relationships/hyperlink" Target="https://www.roly.es/model_SS6428" TargetMode="External"/><Relationship Id="rId71" Type="http://schemas.openxmlformats.org/officeDocument/2006/relationships/hyperlink" Target="https://www.roly.es/model_CC5063" TargetMode="External"/><Relationship Id="rId92" Type="http://schemas.openxmlformats.org/officeDocument/2006/relationships/hyperlink" Target="https://www.roly.es/model_CC9111" TargetMode="External"/><Relationship Id="rId213" Type="http://schemas.openxmlformats.org/officeDocument/2006/relationships/hyperlink" Target="https://www.roly.es/model_BO7121" TargetMode="External"/><Relationship Id="rId2" Type="http://schemas.openxmlformats.org/officeDocument/2006/relationships/hyperlink" Target="https://www.roly.es/model_CA6690" TargetMode="External"/><Relationship Id="rId29" Type="http://schemas.openxmlformats.org/officeDocument/2006/relationships/hyperlink" Target="https://www.roly.es/model_DE9105" TargetMode="External"/><Relationship Id="rId40" Type="http://schemas.openxmlformats.org/officeDocument/2006/relationships/hyperlink" Target="https://www.roly.es/model_PO8403" TargetMode="External"/><Relationship Id="rId115" Type="http://schemas.openxmlformats.org/officeDocument/2006/relationships/hyperlink" Target="https://www.roly.es/model_JE8417" TargetMode="External"/><Relationship Id="rId136" Type="http://schemas.openxmlformats.org/officeDocument/2006/relationships/hyperlink" Target="https://www.roly.es/model_ZL8382" TargetMode="External"/><Relationship Id="rId157" Type="http://schemas.openxmlformats.org/officeDocument/2006/relationships/hyperlink" Target="https://www.roly.es/model_PO0404" TargetMode="External"/><Relationship Id="rId178" Type="http://schemas.openxmlformats.org/officeDocument/2006/relationships/hyperlink" Target="https://www.roly.es/model_SU1117" TargetMode="External"/><Relationship Id="rId61" Type="http://schemas.openxmlformats.org/officeDocument/2006/relationships/hyperlink" Target="https://www.roly.es/model_HV9310" TargetMode="External"/><Relationship Id="rId82" Type="http://schemas.openxmlformats.org/officeDocument/2006/relationships/hyperlink" Target="https://www.roly.es/model_HV9321" TargetMode="External"/><Relationship Id="rId199" Type="http://schemas.openxmlformats.org/officeDocument/2006/relationships/hyperlink" Target="https://www.roly.es/model_CB5202" TargetMode="External"/><Relationship Id="rId203" Type="http://schemas.openxmlformats.org/officeDocument/2006/relationships/hyperlink" Target="https://www.roly.es/model_LG0458" TargetMode="External"/><Relationship Id="rId19" Type="http://schemas.openxmlformats.org/officeDocument/2006/relationships/hyperlink" Target="https://www.roly.es/model_CA65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
  <sheetViews>
    <sheetView tabSelected="1" zoomScale="85" zoomScaleNormal="85" workbookViewId="0">
      <selection activeCell="O38" sqref="O38"/>
    </sheetView>
  </sheetViews>
  <sheetFormatPr baseColWidth="10" defaultRowHeight="15"/>
  <cols>
    <col min="1" max="1" width="6.140625" style="3" customWidth="1"/>
    <col min="2" max="16384" width="11.42578125" style="3"/>
  </cols>
  <sheetData/>
  <phoneticPr fontId="4" type="noConversion"/>
  <pageMargins left="0.75" right="0.75" top="1" bottom="1" header="0.5" footer="0.5"/>
  <pageSetup paperSize="9" orientation="portrait" horizontalDpi="4294967292" verticalDpi="4294967292"/>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AL15"/>
  <sheetViews>
    <sheetView workbookViewId="0">
      <selection activeCell="AZ8" sqref="AZ8"/>
    </sheetView>
  </sheetViews>
  <sheetFormatPr baseColWidth="10" defaultColWidth="2.85546875" defaultRowHeight="15"/>
  <cols>
    <col min="1" max="16384" width="2.85546875" style="3"/>
  </cols>
  <sheetData>
    <row r="3" spans="2:38" ht="24" customHeight="1"/>
    <row r="4" spans="2:38" ht="6" customHeight="1">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row>
    <row r="6" spans="2:38" ht="54" customHeight="1">
      <c r="B6" s="82" t="s">
        <v>140</v>
      </c>
      <c r="C6" s="216" t="s">
        <v>162</v>
      </c>
      <c r="D6" s="216"/>
      <c r="E6" s="216"/>
      <c r="F6" s="216"/>
      <c r="G6" s="216"/>
      <c r="H6" s="216"/>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row>
    <row r="7" spans="2:38" ht="71.25" customHeight="1">
      <c r="B7" s="82" t="s">
        <v>141</v>
      </c>
      <c r="C7" s="216" t="s">
        <v>163</v>
      </c>
      <c r="D7" s="216"/>
      <c r="E7" s="216"/>
      <c r="F7" s="216"/>
      <c r="G7" s="216"/>
      <c r="H7" s="216"/>
      <c r="I7" s="216"/>
      <c r="J7" s="216"/>
      <c r="K7" s="216"/>
      <c r="L7" s="216"/>
      <c r="M7" s="216"/>
      <c r="N7" s="216"/>
      <c r="O7" s="216"/>
      <c r="P7" s="216"/>
      <c r="Q7" s="216"/>
      <c r="R7" s="216"/>
      <c r="S7" s="216"/>
      <c r="T7" s="216"/>
      <c r="U7" s="216"/>
      <c r="V7" s="216"/>
      <c r="W7" s="216"/>
      <c r="X7" s="216"/>
      <c r="Y7" s="216"/>
      <c r="Z7" s="216"/>
      <c r="AA7" s="216"/>
      <c r="AB7" s="216"/>
      <c r="AC7" s="216"/>
      <c r="AD7" s="216"/>
      <c r="AE7" s="216"/>
      <c r="AF7" s="216"/>
      <c r="AG7" s="216"/>
      <c r="AH7" s="216"/>
      <c r="AI7" s="216"/>
      <c r="AJ7" s="216"/>
      <c r="AK7" s="216"/>
      <c r="AL7" s="216"/>
    </row>
    <row r="8" spans="2:38" ht="93.75" customHeight="1">
      <c r="B8" s="82" t="s">
        <v>142</v>
      </c>
      <c r="C8" s="216" t="s">
        <v>143</v>
      </c>
      <c r="D8" s="216"/>
      <c r="E8" s="216"/>
      <c r="F8" s="216"/>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row>
    <row r="9" spans="2:38">
      <c r="F9" s="217" t="s">
        <v>144</v>
      </c>
      <c r="G9" s="217"/>
      <c r="H9" s="217"/>
      <c r="I9" s="217"/>
      <c r="J9" s="217"/>
      <c r="K9" s="217"/>
      <c r="L9" s="217"/>
      <c r="M9" s="217"/>
      <c r="N9" s="217"/>
      <c r="O9" s="217"/>
      <c r="P9" s="217"/>
      <c r="Q9" s="217"/>
      <c r="R9" s="217"/>
      <c r="S9" s="217"/>
      <c r="T9" s="217"/>
      <c r="U9" s="217"/>
      <c r="V9" s="217"/>
      <c r="W9" s="217"/>
      <c r="X9" s="217"/>
      <c r="Y9" s="217"/>
      <c r="Z9" s="217"/>
      <c r="AA9" s="218">
        <v>1</v>
      </c>
      <c r="AB9" s="218"/>
      <c r="AC9" s="218"/>
      <c r="AD9" s="218"/>
    </row>
    <row r="10" spans="2:38" ht="36.75" customHeight="1">
      <c r="F10" s="217"/>
      <c r="G10" s="217"/>
      <c r="H10" s="217"/>
      <c r="I10" s="217"/>
      <c r="J10" s="217"/>
      <c r="K10" s="217"/>
      <c r="L10" s="217"/>
      <c r="M10" s="217"/>
      <c r="N10" s="217"/>
      <c r="O10" s="217"/>
      <c r="P10" s="217"/>
      <c r="Q10" s="217"/>
      <c r="R10" s="217"/>
      <c r="S10" s="217"/>
      <c r="T10" s="217"/>
      <c r="U10" s="217"/>
      <c r="V10" s="217"/>
      <c r="W10" s="217"/>
      <c r="X10" s="217"/>
      <c r="Y10" s="217"/>
      <c r="Z10" s="217"/>
      <c r="AA10" s="218"/>
      <c r="AB10" s="218"/>
      <c r="AC10" s="218"/>
      <c r="AD10" s="218"/>
    </row>
    <row r="11" spans="2:38">
      <c r="F11" s="217"/>
      <c r="G11" s="217"/>
      <c r="H11" s="217"/>
      <c r="I11" s="217"/>
      <c r="J11" s="217"/>
      <c r="K11" s="217"/>
      <c r="L11" s="217"/>
      <c r="M11" s="217"/>
      <c r="N11" s="217"/>
      <c r="O11" s="217"/>
      <c r="P11" s="217"/>
      <c r="Q11" s="217"/>
      <c r="R11" s="217"/>
      <c r="S11" s="217"/>
      <c r="T11" s="217"/>
      <c r="U11" s="217"/>
      <c r="V11" s="217"/>
      <c r="W11" s="217"/>
      <c r="X11" s="217"/>
      <c r="Y11" s="217"/>
      <c r="Z11" s="217"/>
      <c r="AA11" s="218"/>
      <c r="AB11" s="218"/>
      <c r="AC11" s="218"/>
      <c r="AD11" s="218"/>
    </row>
    <row r="12" spans="2:38" ht="15" customHeight="1">
      <c r="B12" s="82"/>
      <c r="C12" s="219"/>
      <c r="D12" s="219"/>
      <c r="E12" s="219"/>
      <c r="F12" s="219"/>
      <c r="G12" s="219"/>
      <c r="H12" s="219"/>
      <c r="I12" s="219"/>
      <c r="J12" s="219"/>
      <c r="K12" s="219"/>
      <c r="L12" s="219"/>
      <c r="M12" s="219"/>
      <c r="N12" s="219"/>
      <c r="O12" s="219"/>
      <c r="P12" s="219"/>
      <c r="Q12" s="219"/>
      <c r="R12" s="219"/>
      <c r="S12" s="219"/>
      <c r="T12" s="219"/>
      <c r="U12" s="219"/>
      <c r="V12" s="219"/>
      <c r="W12" s="219"/>
      <c r="X12" s="219"/>
      <c r="Y12" s="219"/>
      <c r="Z12" s="219"/>
      <c r="AA12" s="219"/>
      <c r="AB12" s="219"/>
      <c r="AC12" s="219"/>
      <c r="AD12" s="219"/>
      <c r="AE12" s="219"/>
      <c r="AF12" s="219"/>
      <c r="AG12" s="219"/>
      <c r="AH12" s="219"/>
      <c r="AI12" s="219"/>
      <c r="AJ12" s="219"/>
      <c r="AK12" s="219"/>
      <c r="AL12" s="219"/>
    </row>
    <row r="13" spans="2:38" ht="96.75" customHeight="1">
      <c r="B13" s="82" t="s">
        <v>145</v>
      </c>
      <c r="C13" s="216" t="s">
        <v>146</v>
      </c>
      <c r="D13" s="216"/>
      <c r="E13" s="216"/>
      <c r="F13" s="216"/>
      <c r="G13" s="216"/>
      <c r="H13" s="216"/>
      <c r="I13" s="216"/>
      <c r="J13" s="216"/>
      <c r="K13" s="216"/>
      <c r="L13" s="216"/>
      <c r="M13" s="216"/>
      <c r="N13" s="216"/>
      <c r="O13" s="216"/>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row>
    <row r="15" spans="2:38" ht="14.1" customHeight="1"/>
  </sheetData>
  <mergeCells count="7">
    <mergeCell ref="C13:AL13"/>
    <mergeCell ref="C6:AL6"/>
    <mergeCell ref="C7:AL7"/>
    <mergeCell ref="C8:AL8"/>
    <mergeCell ref="F9:Z11"/>
    <mergeCell ref="AA9:AD11"/>
    <mergeCell ref="C12:AL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rgb="FF92D050"/>
    <pageSetUpPr fitToPage="1"/>
  </sheetPr>
  <dimension ref="A1:IT775"/>
  <sheetViews>
    <sheetView showGridLines="0" zoomScale="90" zoomScaleNormal="90" workbookViewId="0">
      <selection activeCell="M313" sqref="M313:M327"/>
    </sheetView>
  </sheetViews>
  <sheetFormatPr baseColWidth="10" defaultColWidth="6.140625" defaultRowHeight="15"/>
  <cols>
    <col min="1" max="1" width="9.5703125" style="1" customWidth="1"/>
    <col min="2" max="2" width="10.42578125" style="28" bestFit="1" customWidth="1"/>
    <col min="3" max="3" width="7.28515625" style="4" customWidth="1"/>
    <col min="4" max="4" width="23.85546875" style="38" bestFit="1" customWidth="1"/>
    <col min="5" max="5" width="24.28515625" style="38" bestFit="1" customWidth="1"/>
    <col min="6" max="6" width="18.85546875" style="38" bestFit="1" customWidth="1"/>
    <col min="7" max="7" width="42.85546875" style="38" bestFit="1" customWidth="1"/>
    <col min="8" max="8" width="10.7109375" style="4" customWidth="1"/>
    <col min="9" max="9" width="11" style="5" customWidth="1"/>
    <col min="10" max="10" width="14.85546875" style="16" bestFit="1" customWidth="1"/>
    <col min="11" max="11" width="10.28515625" style="17" customWidth="1"/>
    <col min="12" max="12" width="10" style="17" bestFit="1" customWidth="1"/>
    <col min="13" max="13" width="11.5703125" bestFit="1" customWidth="1"/>
    <col min="14" max="14" width="14.28515625" customWidth="1"/>
    <col min="15" max="15" width="11" customWidth="1"/>
    <col min="16" max="16" width="12.140625" customWidth="1"/>
    <col min="17" max="17" width="8.7109375" customWidth="1"/>
    <col min="18" max="18" width="9.28515625" customWidth="1"/>
    <col min="19" max="19" width="9.7109375" customWidth="1"/>
    <col min="20" max="20" width="9.140625" customWidth="1"/>
  </cols>
  <sheetData>
    <row r="1" spans="1:42" ht="36" customHeight="1">
      <c r="A1" s="289" t="s">
        <v>139</v>
      </c>
      <c r="B1" s="289"/>
      <c r="C1" s="289"/>
      <c r="D1" s="289"/>
      <c r="E1" s="289"/>
      <c r="F1" s="289"/>
      <c r="G1" s="289"/>
      <c r="H1" s="289"/>
      <c r="I1" s="289"/>
      <c r="J1" s="289"/>
      <c r="K1" s="289"/>
      <c r="L1" s="289"/>
      <c r="M1" s="49"/>
    </row>
    <row r="2" spans="1:42" ht="45.75" thickBot="1">
      <c r="A2" s="41"/>
      <c r="B2" s="42"/>
      <c r="C2" s="41"/>
      <c r="D2" s="41"/>
      <c r="E2" s="41"/>
      <c r="F2" s="41"/>
      <c r="G2" s="37"/>
      <c r="H2" s="43" t="s">
        <v>111</v>
      </c>
      <c r="I2" s="43"/>
      <c r="J2" s="47" t="s">
        <v>112</v>
      </c>
      <c r="K2" s="43"/>
      <c r="L2" s="43"/>
      <c r="M2" s="49"/>
    </row>
    <row r="3" spans="1:42" s="21" customFormat="1" ht="12" customHeight="1">
      <c r="A3" s="22" t="s">
        <v>25</v>
      </c>
      <c r="B3" s="24" t="s">
        <v>1</v>
      </c>
      <c r="C3" s="22" t="s">
        <v>2</v>
      </c>
      <c r="D3" s="36" t="s">
        <v>3</v>
      </c>
      <c r="E3" s="36" t="s">
        <v>21</v>
      </c>
      <c r="F3" s="36" t="s">
        <v>4</v>
      </c>
      <c r="G3" s="36" t="s">
        <v>5</v>
      </c>
      <c r="H3" s="22" t="s">
        <v>56</v>
      </c>
      <c r="I3" s="23" t="s">
        <v>55</v>
      </c>
      <c r="J3" s="31" t="s">
        <v>12</v>
      </c>
      <c r="K3" s="31" t="s">
        <v>16</v>
      </c>
      <c r="L3" s="45" t="s">
        <v>18</v>
      </c>
      <c r="M3" s="48"/>
      <c r="N3"/>
      <c r="O3"/>
      <c r="P3"/>
      <c r="Q3"/>
      <c r="R3"/>
      <c r="S3"/>
      <c r="T3"/>
      <c r="U3"/>
      <c r="V3"/>
      <c r="W3"/>
      <c r="X3"/>
      <c r="Y3"/>
      <c r="Z3"/>
      <c r="AA3"/>
      <c r="AB3"/>
      <c r="AC3"/>
      <c r="AD3"/>
      <c r="AE3"/>
      <c r="AF3"/>
      <c r="AG3"/>
      <c r="AH3"/>
      <c r="AI3"/>
      <c r="AJ3"/>
      <c r="AK3"/>
      <c r="AL3"/>
      <c r="AM3"/>
      <c r="AN3"/>
      <c r="AO3"/>
      <c r="AP3"/>
    </row>
    <row r="4" spans="1:42" s="13" customFormat="1" ht="12" customHeight="1" thickBot="1">
      <c r="A4" s="9" t="s">
        <v>34</v>
      </c>
      <c r="B4" s="25" t="s">
        <v>1</v>
      </c>
      <c r="C4" s="9" t="s">
        <v>2</v>
      </c>
      <c r="D4" s="36" t="s">
        <v>6</v>
      </c>
      <c r="E4" s="36" t="s">
        <v>22</v>
      </c>
      <c r="F4" s="36" t="s">
        <v>7</v>
      </c>
      <c r="G4" s="36" t="s">
        <v>8</v>
      </c>
      <c r="H4" s="12" t="s">
        <v>58</v>
      </c>
      <c r="I4" s="18" t="s">
        <v>59</v>
      </c>
      <c r="J4" s="32" t="s">
        <v>14</v>
      </c>
      <c r="K4" s="32" t="s">
        <v>16</v>
      </c>
      <c r="L4" s="46" t="s">
        <v>19</v>
      </c>
      <c r="M4" s="50"/>
      <c r="N4"/>
      <c r="O4"/>
      <c r="P4"/>
      <c r="Q4"/>
      <c r="R4"/>
      <c r="S4"/>
      <c r="T4"/>
      <c r="U4"/>
      <c r="V4"/>
      <c r="W4"/>
      <c r="X4"/>
      <c r="Y4"/>
      <c r="Z4"/>
      <c r="AA4"/>
      <c r="AB4"/>
      <c r="AC4"/>
      <c r="AD4"/>
      <c r="AE4"/>
      <c r="AF4"/>
      <c r="AG4"/>
      <c r="AH4"/>
      <c r="AI4"/>
      <c r="AJ4"/>
      <c r="AK4"/>
      <c r="AL4"/>
      <c r="AM4"/>
      <c r="AN4"/>
      <c r="AO4"/>
      <c r="AP4"/>
    </row>
    <row r="5" spans="1:42" s="14" customFormat="1" ht="12" customHeight="1">
      <c r="A5" s="10" t="s">
        <v>35</v>
      </c>
      <c r="B5" s="26" t="s">
        <v>1</v>
      </c>
      <c r="C5" s="10" t="s">
        <v>2</v>
      </c>
      <c r="D5" s="37" t="s">
        <v>9</v>
      </c>
      <c r="E5" s="37" t="s">
        <v>23</v>
      </c>
      <c r="F5" s="37" t="s">
        <v>10</v>
      </c>
      <c r="G5" s="37" t="s">
        <v>11</v>
      </c>
      <c r="H5" s="10" t="s">
        <v>57</v>
      </c>
      <c r="I5" s="19" t="s">
        <v>60</v>
      </c>
      <c r="J5" s="33" t="s">
        <v>15</v>
      </c>
      <c r="K5" s="33" t="s">
        <v>17</v>
      </c>
      <c r="L5" s="44" t="s">
        <v>20</v>
      </c>
      <c r="M5" s="48"/>
      <c r="N5"/>
      <c r="O5"/>
      <c r="P5"/>
      <c r="Q5"/>
      <c r="R5"/>
      <c r="S5"/>
      <c r="T5"/>
      <c r="U5"/>
      <c r="V5"/>
      <c r="W5"/>
      <c r="X5"/>
      <c r="Y5"/>
      <c r="Z5"/>
      <c r="AA5"/>
      <c r="AB5"/>
      <c r="AC5"/>
      <c r="AD5"/>
      <c r="AE5"/>
      <c r="AF5"/>
      <c r="AG5"/>
      <c r="AH5"/>
      <c r="AI5"/>
      <c r="AJ5"/>
      <c r="AK5"/>
      <c r="AL5"/>
      <c r="AM5"/>
      <c r="AN5"/>
      <c r="AO5"/>
      <c r="AP5"/>
    </row>
    <row r="6" spans="1:42" s="51" customFormat="1" ht="21.75" customHeight="1">
      <c r="A6" s="291" t="s">
        <v>136</v>
      </c>
      <c r="B6" s="291"/>
      <c r="C6" s="291"/>
      <c r="D6" s="291"/>
      <c r="E6" s="291"/>
      <c r="F6" s="291"/>
      <c r="G6" s="291"/>
      <c r="H6" s="291"/>
      <c r="I6" s="291"/>
      <c r="J6" s="291"/>
      <c r="K6" s="291"/>
      <c r="L6" s="291"/>
      <c r="M6" s="92"/>
      <c r="N6" s="92"/>
      <c r="O6" s="92"/>
      <c r="P6" s="86"/>
      <c r="Q6" s="86"/>
      <c r="R6" s="86"/>
      <c r="S6" s="86"/>
      <c r="T6" s="86"/>
    </row>
    <row r="7" spans="1:42" s="51" customFormat="1" ht="21.75" customHeight="1">
      <c r="A7" s="93">
        <v>12</v>
      </c>
      <c r="B7" s="170" t="s">
        <v>164</v>
      </c>
      <c r="C7" s="94">
        <v>8397</v>
      </c>
      <c r="D7" s="95" t="s">
        <v>312</v>
      </c>
      <c r="E7" s="95" t="s">
        <v>107</v>
      </c>
      <c r="F7" s="95" t="s">
        <v>313</v>
      </c>
      <c r="G7" s="55" t="s">
        <v>40</v>
      </c>
      <c r="H7" s="95">
        <v>10</v>
      </c>
      <c r="I7" s="96">
        <v>1</v>
      </c>
      <c r="J7" s="102">
        <v>30.9</v>
      </c>
      <c r="K7" s="103">
        <f t="shared" ref="K7:K8" si="0">IF(I7=1,(ROUNDUP((J7*0.05+J7),3)),ROUNDUP((J7*0.05+J7),3))</f>
        <v>32.445</v>
      </c>
      <c r="L7" s="103" t="str">
        <f t="shared" ref="L7:L8" si="1">IF(I7=1,"-",IF(AND(I7="",L11="-"),"-",ROUNDUP((J7*0.2)+J7,3)))</f>
        <v>-</v>
      </c>
      <c r="M7" s="215"/>
      <c r="N7" s="92"/>
      <c r="O7" s="92"/>
      <c r="P7" s="86"/>
      <c r="Q7" s="86"/>
      <c r="R7" s="86"/>
      <c r="S7" s="86"/>
      <c r="T7" s="86"/>
    </row>
    <row r="8" spans="1:42" s="51" customFormat="1" ht="21.75" customHeight="1">
      <c r="A8" s="97">
        <v>14</v>
      </c>
      <c r="B8" s="179" t="s">
        <v>164</v>
      </c>
      <c r="C8" s="98">
        <v>8392</v>
      </c>
      <c r="D8" s="99" t="s">
        <v>314</v>
      </c>
      <c r="E8" s="99" t="s">
        <v>107</v>
      </c>
      <c r="F8" s="99" t="s">
        <v>313</v>
      </c>
      <c r="G8" s="100" t="s">
        <v>40</v>
      </c>
      <c r="H8" s="99">
        <v>10</v>
      </c>
      <c r="I8" s="101">
        <v>1</v>
      </c>
      <c r="J8" s="104">
        <v>24.5</v>
      </c>
      <c r="K8" s="105">
        <f t="shared" si="0"/>
        <v>25.725000000000001</v>
      </c>
      <c r="L8" s="105" t="str">
        <f t="shared" si="1"/>
        <v>-</v>
      </c>
      <c r="M8" s="215"/>
      <c r="N8" s="92"/>
      <c r="O8" s="92"/>
      <c r="P8" s="86"/>
      <c r="Q8" s="86"/>
      <c r="R8" s="86"/>
      <c r="S8" s="86"/>
      <c r="T8" s="86"/>
    </row>
    <row r="9" spans="1:42" s="51" customFormat="1" ht="21.75" customHeight="1">
      <c r="A9" s="111">
        <v>16</v>
      </c>
      <c r="B9" s="66" t="s">
        <v>53</v>
      </c>
      <c r="C9" s="112">
        <v>8385</v>
      </c>
      <c r="D9" s="91" t="s">
        <v>184</v>
      </c>
      <c r="E9" s="91" t="s">
        <v>107</v>
      </c>
      <c r="F9" s="91" t="s">
        <v>155</v>
      </c>
      <c r="G9" s="61" t="s">
        <v>40</v>
      </c>
      <c r="H9" s="91">
        <v>10</v>
      </c>
      <c r="I9" s="113">
        <v>1</v>
      </c>
      <c r="J9" s="102">
        <v>37.25</v>
      </c>
      <c r="K9" s="103">
        <f>IF(I9=1,(ROUNDUP((J9*0.05+J9),3)),ROUNDUP((J9*0.05+J9),3))</f>
        <v>39.113</v>
      </c>
      <c r="L9" s="103" t="str">
        <f>IF(I9=1,"-",IF(AND(I9="",L13="-"),"-",ROUNDUP((J9*0.2)+J9,3)))</f>
        <v>-</v>
      </c>
      <c r="M9" s="215"/>
      <c r="N9" s="86"/>
      <c r="O9"/>
      <c r="P9"/>
      <c r="Q9" s="52"/>
      <c r="R9" s="86"/>
      <c r="S9" s="86"/>
      <c r="T9" s="86"/>
    </row>
    <row r="10" spans="1:42" s="51" customFormat="1" ht="21.75" customHeight="1">
      <c r="A10" s="97">
        <v>18</v>
      </c>
      <c r="B10" s="179" t="s">
        <v>164</v>
      </c>
      <c r="C10" s="98">
        <v>8395</v>
      </c>
      <c r="D10" s="99" t="s">
        <v>315</v>
      </c>
      <c r="E10" s="99" t="s">
        <v>107</v>
      </c>
      <c r="F10" s="99" t="s">
        <v>313</v>
      </c>
      <c r="G10" s="100" t="s">
        <v>40</v>
      </c>
      <c r="H10" s="99">
        <v>10</v>
      </c>
      <c r="I10" s="101">
        <v>1</v>
      </c>
      <c r="J10" s="104">
        <v>26.5</v>
      </c>
      <c r="K10" s="105">
        <f t="shared" ref="K10:K11" si="2">IF(I10=1,(ROUNDUP((J10*0.05+J10),3)),ROUNDUP((J10*0.05+J10),3))</f>
        <v>27.824999999999999</v>
      </c>
      <c r="L10" s="105" t="str">
        <f t="shared" ref="L10:L11" si="3">IF(I10=1,"-",IF(AND(I10="",L14="-"),"-",ROUNDUP((J10*0.2)+J10,3)))</f>
        <v>-</v>
      </c>
      <c r="M10" s="215"/>
      <c r="N10" s="92"/>
      <c r="O10" s="92"/>
      <c r="P10" s="86"/>
      <c r="Q10" s="86"/>
      <c r="R10" s="86"/>
      <c r="S10" s="86"/>
      <c r="T10" s="86"/>
    </row>
    <row r="11" spans="1:42" s="51" customFormat="1" ht="21.75" customHeight="1">
      <c r="A11" s="93">
        <v>18</v>
      </c>
      <c r="B11" s="170" t="s">
        <v>164</v>
      </c>
      <c r="C11" s="94">
        <v>8394</v>
      </c>
      <c r="D11" s="95" t="s">
        <v>316</v>
      </c>
      <c r="E11" s="95" t="s">
        <v>107</v>
      </c>
      <c r="F11" s="95" t="s">
        <v>313</v>
      </c>
      <c r="G11" s="55" t="s">
        <v>40</v>
      </c>
      <c r="H11" s="95">
        <v>10</v>
      </c>
      <c r="I11" s="96">
        <v>1</v>
      </c>
      <c r="J11" s="102">
        <v>27.25</v>
      </c>
      <c r="K11" s="103">
        <f t="shared" si="2"/>
        <v>28.613</v>
      </c>
      <c r="L11" s="103" t="str">
        <f t="shared" si="3"/>
        <v>-</v>
      </c>
      <c r="M11" s="215"/>
      <c r="N11" s="92"/>
      <c r="O11" s="92"/>
      <c r="P11" s="86"/>
      <c r="Q11" s="86"/>
      <c r="R11" s="86"/>
      <c r="S11" s="86"/>
      <c r="T11" s="86"/>
    </row>
    <row r="12" spans="1:42" s="51" customFormat="1" ht="21.75" customHeight="1">
      <c r="A12" s="97">
        <v>20</v>
      </c>
      <c r="B12" s="178" t="s">
        <v>53</v>
      </c>
      <c r="C12" s="98">
        <v>8382</v>
      </c>
      <c r="D12" s="99" t="s">
        <v>181</v>
      </c>
      <c r="E12" s="99" t="s">
        <v>107</v>
      </c>
      <c r="F12" s="99" t="s">
        <v>155</v>
      </c>
      <c r="G12" s="100" t="s">
        <v>40</v>
      </c>
      <c r="H12" s="99">
        <v>10</v>
      </c>
      <c r="I12" s="101">
        <v>1</v>
      </c>
      <c r="J12" s="104">
        <v>27.3</v>
      </c>
      <c r="K12" s="105">
        <f>IF(I12=1,(ROUNDUP((J12*0.05+J12),3)),ROUNDUP((J12*0.05+J12),3))</f>
        <v>28.664999999999999</v>
      </c>
      <c r="L12" s="105" t="str">
        <f>IF(I12=1,"-",IF(AND(I12="",L14="-"),"-",ROUNDUP((J12*0.2)+J12,3)))</f>
        <v>-</v>
      </c>
      <c r="M12" s="215"/>
      <c r="N12" s="86"/>
      <c r="O12" s="86"/>
      <c r="P12" s="86"/>
      <c r="Q12" s="86"/>
      <c r="R12" s="86"/>
      <c r="S12" s="86"/>
      <c r="T12" s="86"/>
    </row>
    <row r="13" spans="1:42" s="51" customFormat="1" ht="21.75" customHeight="1">
      <c r="A13" s="111">
        <v>22</v>
      </c>
      <c r="B13" s="66" t="s">
        <v>53</v>
      </c>
      <c r="C13" s="112">
        <v>8383</v>
      </c>
      <c r="D13" s="91" t="s">
        <v>182</v>
      </c>
      <c r="E13" s="91" t="s">
        <v>107</v>
      </c>
      <c r="F13" s="91" t="s">
        <v>155</v>
      </c>
      <c r="G13" s="61" t="s">
        <v>40</v>
      </c>
      <c r="H13" s="91">
        <v>10</v>
      </c>
      <c r="I13" s="113">
        <v>1</v>
      </c>
      <c r="J13" s="102">
        <v>28.25</v>
      </c>
      <c r="K13" s="103">
        <f>IF(I13=1,(ROUNDUP((J13*0.05+J13),3)),ROUNDUP((J13*0.05+J13),3))</f>
        <v>29.663</v>
      </c>
      <c r="L13" s="103" t="str">
        <f>IF(I13=1,"-",IF(AND(I13="",L15="-"),"-",ROUNDUP((J13*0.2)+J13,3)))</f>
        <v>-</v>
      </c>
      <c r="M13" s="215"/>
      <c r="N13" s="86"/>
      <c r="O13"/>
      <c r="P13"/>
      <c r="Q13" s="52"/>
      <c r="R13" s="86"/>
      <c r="S13" s="86"/>
      <c r="T13" s="86"/>
    </row>
    <row r="14" spans="1:42" s="51" customFormat="1" ht="21.75" customHeight="1">
      <c r="A14" s="97">
        <v>24</v>
      </c>
      <c r="B14" s="178" t="s">
        <v>53</v>
      </c>
      <c r="C14" s="98">
        <v>8380</v>
      </c>
      <c r="D14" s="99" t="s">
        <v>178</v>
      </c>
      <c r="E14" s="99" t="s">
        <v>107</v>
      </c>
      <c r="F14" s="99" t="s">
        <v>155</v>
      </c>
      <c r="G14" s="100" t="s">
        <v>40</v>
      </c>
      <c r="H14" s="99">
        <v>10</v>
      </c>
      <c r="I14" s="101">
        <v>1</v>
      </c>
      <c r="J14" s="104">
        <v>30.35</v>
      </c>
      <c r="K14" s="105">
        <f>IF(I14=1,(ROUNDUP((J14*0.05+J14),3)),ROUNDUP((J14*0.05+J14),3))</f>
        <v>31.868000000000002</v>
      </c>
      <c r="L14" s="105" t="str">
        <f>IF(I14=1,"-",IF(AND(I14="",L5="-"),"-",ROUNDUP((J14*0.2)+J14,3)))</f>
        <v>-</v>
      </c>
      <c r="M14" s="215"/>
      <c r="N14" s="86"/>
      <c r="O14" s="86"/>
      <c r="P14" s="86"/>
      <c r="Q14" s="86"/>
      <c r="R14" s="86"/>
      <c r="S14" s="86"/>
      <c r="T14" s="86"/>
    </row>
    <row r="15" spans="1:42" s="51" customFormat="1" ht="21.75" customHeight="1">
      <c r="A15" s="111">
        <v>26</v>
      </c>
      <c r="B15" s="66" t="s">
        <v>53</v>
      </c>
      <c r="C15" s="112">
        <v>8381</v>
      </c>
      <c r="D15" s="91" t="s">
        <v>180</v>
      </c>
      <c r="E15" s="91" t="s">
        <v>107</v>
      </c>
      <c r="F15" s="91" t="s">
        <v>155</v>
      </c>
      <c r="G15" s="61" t="s">
        <v>40</v>
      </c>
      <c r="H15" s="91">
        <v>10</v>
      </c>
      <c r="I15" s="113">
        <v>1</v>
      </c>
      <c r="J15" s="102">
        <v>31.15</v>
      </c>
      <c r="K15" s="103">
        <f t="shared" ref="K15" si="4">IF(I15=1,(ROUNDUP((J15*0.05+J15),3)),ROUNDUP((J15*0.05+J15),3))</f>
        <v>32.707999999999998</v>
      </c>
      <c r="L15" s="103" t="str">
        <f>IF(I15=1,"-",IF(AND(I15="",L6="-"),"-",ROUNDUP((J15*0.2)+J15,3)))</f>
        <v>-</v>
      </c>
      <c r="M15" s="215"/>
      <c r="N15" s="86"/>
      <c r="O15" s="86"/>
      <c r="P15" s="86"/>
      <c r="Q15" s="86"/>
      <c r="R15" s="86"/>
      <c r="S15" s="86"/>
      <c r="T15" s="86"/>
    </row>
    <row r="16" spans="1:42" s="51" customFormat="1" ht="21.75" customHeight="1">
      <c r="A16" s="97">
        <v>28</v>
      </c>
      <c r="B16" s="178" t="s">
        <v>53</v>
      </c>
      <c r="C16" s="98">
        <v>8384</v>
      </c>
      <c r="D16" s="99" t="s">
        <v>183</v>
      </c>
      <c r="E16" s="99" t="s">
        <v>107</v>
      </c>
      <c r="F16" s="99" t="s">
        <v>155</v>
      </c>
      <c r="G16" s="100" t="s">
        <v>40</v>
      </c>
      <c r="H16" s="99">
        <v>10</v>
      </c>
      <c r="I16" s="101">
        <v>1</v>
      </c>
      <c r="J16" s="104">
        <v>30.1</v>
      </c>
      <c r="K16" s="105">
        <f>IF(I16=1,(ROUNDUP((J16*0.05+J16),3)),ROUNDUP((J16*0.05+J16),3))</f>
        <v>31.605</v>
      </c>
      <c r="L16" s="105" t="str">
        <f>IF(I16=1,"-",IF(AND(I16="",L12="-"),"-",ROUNDUP((J16*0.2)+J16,3)))</f>
        <v>-</v>
      </c>
      <c r="M16" s="215"/>
      <c r="N16" s="86"/>
      <c r="O16"/>
      <c r="P16"/>
      <c r="Q16" s="52"/>
      <c r="R16" s="86"/>
      <c r="S16" s="86"/>
      <c r="T16" s="86"/>
    </row>
    <row r="17" spans="1:20" s="51" customFormat="1" ht="21.75" customHeight="1">
      <c r="A17" s="93">
        <v>30</v>
      </c>
      <c r="B17" s="170" t="s">
        <v>164</v>
      </c>
      <c r="C17" s="94">
        <v>8388</v>
      </c>
      <c r="D17" s="95" t="s">
        <v>317</v>
      </c>
      <c r="E17" s="95" t="s">
        <v>107</v>
      </c>
      <c r="F17" s="95" t="s">
        <v>318</v>
      </c>
      <c r="G17" s="55" t="s">
        <v>40</v>
      </c>
      <c r="H17" s="95">
        <v>10</v>
      </c>
      <c r="I17" s="96">
        <v>1</v>
      </c>
      <c r="J17" s="102">
        <v>20.25</v>
      </c>
      <c r="K17" s="103">
        <f t="shared" ref="K17:K24" si="5">IF(I17=1,(ROUNDUP((J17*0.05+J17),3)),ROUNDUP((J17*0.05+J17),3))</f>
        <v>21.263000000000002</v>
      </c>
      <c r="L17" s="103" t="str">
        <f t="shared" ref="L17:L24" si="6">IF(I17=1,"-",IF(AND(I17="",L13="-"),"-",ROUNDUP((J17*0.2)+J17,3)))</f>
        <v>-</v>
      </c>
      <c r="M17" s="215"/>
      <c r="N17" s="92"/>
      <c r="O17" s="92"/>
      <c r="P17" s="86"/>
      <c r="Q17" s="86"/>
      <c r="R17" s="86"/>
      <c r="S17" s="86"/>
      <c r="T17" s="86"/>
    </row>
    <row r="18" spans="1:20" s="51" customFormat="1" ht="21.75" customHeight="1">
      <c r="A18" s="97">
        <v>32</v>
      </c>
      <c r="B18" s="179" t="s">
        <v>164</v>
      </c>
      <c r="C18" s="98">
        <v>8389</v>
      </c>
      <c r="D18" s="99" t="s">
        <v>319</v>
      </c>
      <c r="E18" s="99" t="s">
        <v>107</v>
      </c>
      <c r="F18" s="99" t="s">
        <v>318</v>
      </c>
      <c r="G18" s="100" t="s">
        <v>40</v>
      </c>
      <c r="H18" s="99">
        <v>10</v>
      </c>
      <c r="I18" s="101">
        <v>1</v>
      </c>
      <c r="J18" s="104">
        <v>21.5</v>
      </c>
      <c r="K18" s="105">
        <f t="shared" si="5"/>
        <v>22.574999999999999</v>
      </c>
      <c r="L18" s="105" t="str">
        <f t="shared" si="6"/>
        <v>-</v>
      </c>
      <c r="M18" s="215"/>
      <c r="N18" s="92"/>
      <c r="O18" s="92"/>
      <c r="P18" s="86"/>
      <c r="Q18" s="86"/>
      <c r="R18" s="86"/>
      <c r="S18" s="86"/>
      <c r="T18" s="86"/>
    </row>
    <row r="19" spans="1:20" s="51" customFormat="1" ht="21.75" customHeight="1">
      <c r="A19" s="93">
        <v>34</v>
      </c>
      <c r="B19" s="170" t="s">
        <v>164</v>
      </c>
      <c r="C19" s="94">
        <v>8390</v>
      </c>
      <c r="D19" s="95" t="s">
        <v>320</v>
      </c>
      <c r="E19" s="95" t="s">
        <v>107</v>
      </c>
      <c r="F19" s="95" t="s">
        <v>318</v>
      </c>
      <c r="G19" s="55" t="s">
        <v>40</v>
      </c>
      <c r="H19" s="95">
        <v>10</v>
      </c>
      <c r="I19" s="96">
        <v>1</v>
      </c>
      <c r="J19" s="102">
        <v>36.5</v>
      </c>
      <c r="K19" s="103">
        <f t="shared" si="5"/>
        <v>38.325000000000003</v>
      </c>
      <c r="L19" s="103" t="str">
        <f t="shared" si="6"/>
        <v>-</v>
      </c>
      <c r="M19" s="215"/>
      <c r="N19" s="92"/>
      <c r="O19" s="92"/>
      <c r="P19" s="86"/>
      <c r="Q19" s="86"/>
      <c r="R19" s="86"/>
      <c r="S19" s="86"/>
      <c r="T19" s="86"/>
    </row>
    <row r="20" spans="1:20" s="51" customFormat="1" ht="21.75" customHeight="1">
      <c r="A20" s="97">
        <v>36</v>
      </c>
      <c r="B20" s="179" t="s">
        <v>164</v>
      </c>
      <c r="C20" s="98">
        <v>8391</v>
      </c>
      <c r="D20" s="99" t="s">
        <v>321</v>
      </c>
      <c r="E20" s="99" t="s">
        <v>107</v>
      </c>
      <c r="F20" s="99" t="s">
        <v>318</v>
      </c>
      <c r="G20" s="100" t="s">
        <v>40</v>
      </c>
      <c r="H20" s="99">
        <v>10</v>
      </c>
      <c r="I20" s="101">
        <v>1</v>
      </c>
      <c r="J20" s="104">
        <v>37.5</v>
      </c>
      <c r="K20" s="105">
        <f t="shared" si="5"/>
        <v>39.375</v>
      </c>
      <c r="L20" s="105" t="str">
        <f t="shared" si="6"/>
        <v>-</v>
      </c>
      <c r="M20" s="215"/>
      <c r="N20" s="92"/>
      <c r="O20" s="92"/>
      <c r="P20" s="86"/>
      <c r="Q20" s="86"/>
      <c r="R20" s="86"/>
      <c r="S20" s="86"/>
      <c r="T20" s="86"/>
    </row>
    <row r="21" spans="1:20" s="51" customFormat="1" ht="21.75" customHeight="1">
      <c r="A21" s="93">
        <v>38</v>
      </c>
      <c r="B21" s="170" t="s">
        <v>164</v>
      </c>
      <c r="C21" s="94">
        <v>8387</v>
      </c>
      <c r="D21" s="95" t="s">
        <v>322</v>
      </c>
      <c r="E21" s="95" t="s">
        <v>107</v>
      </c>
      <c r="F21" s="95" t="s">
        <v>318</v>
      </c>
      <c r="G21" s="55" t="s">
        <v>40</v>
      </c>
      <c r="H21" s="95">
        <v>10</v>
      </c>
      <c r="I21" s="96">
        <v>1</v>
      </c>
      <c r="J21" s="102">
        <v>25</v>
      </c>
      <c r="K21" s="103">
        <f t="shared" si="5"/>
        <v>26.25</v>
      </c>
      <c r="L21" s="103" t="str">
        <f t="shared" si="6"/>
        <v>-</v>
      </c>
      <c r="M21" s="215"/>
      <c r="N21" s="92"/>
      <c r="O21" s="92"/>
      <c r="P21" s="86"/>
      <c r="Q21" s="86"/>
      <c r="R21" s="86"/>
      <c r="S21" s="86"/>
      <c r="T21" s="86"/>
    </row>
    <row r="22" spans="1:20" s="51" customFormat="1" ht="21.75" customHeight="1">
      <c r="A22" s="97">
        <v>40</v>
      </c>
      <c r="B22" s="179" t="s">
        <v>164</v>
      </c>
      <c r="C22" s="98">
        <v>8386</v>
      </c>
      <c r="D22" s="99" t="s">
        <v>323</v>
      </c>
      <c r="E22" s="99" t="s">
        <v>107</v>
      </c>
      <c r="F22" s="99" t="s">
        <v>318</v>
      </c>
      <c r="G22" s="100" t="s">
        <v>40</v>
      </c>
      <c r="H22" s="99">
        <v>10</v>
      </c>
      <c r="I22" s="101">
        <v>1</v>
      </c>
      <c r="J22" s="104">
        <v>21.9</v>
      </c>
      <c r="K22" s="105">
        <f t="shared" si="5"/>
        <v>22.995000000000001</v>
      </c>
      <c r="L22" s="105" t="str">
        <f t="shared" si="6"/>
        <v>-</v>
      </c>
      <c r="M22" s="215"/>
      <c r="N22" s="92"/>
      <c r="O22" s="92"/>
      <c r="P22" s="86"/>
      <c r="Q22" s="86"/>
      <c r="R22" s="86"/>
      <c r="S22" s="86"/>
      <c r="T22" s="86"/>
    </row>
    <row r="23" spans="1:20" s="51" customFormat="1" ht="21.75" customHeight="1">
      <c r="A23" s="93">
        <v>41</v>
      </c>
      <c r="B23" s="170" t="s">
        <v>164</v>
      </c>
      <c r="C23" s="94">
        <v>8393</v>
      </c>
      <c r="D23" s="95" t="s">
        <v>324</v>
      </c>
      <c r="E23" s="91" t="s">
        <v>107</v>
      </c>
      <c r="F23" s="95" t="s">
        <v>179</v>
      </c>
      <c r="G23" s="55" t="s">
        <v>40</v>
      </c>
      <c r="H23" s="95">
        <v>10</v>
      </c>
      <c r="I23" s="96">
        <v>1</v>
      </c>
      <c r="J23" s="102">
        <v>13.5</v>
      </c>
      <c r="K23" s="103">
        <f t="shared" si="5"/>
        <v>14.175000000000001</v>
      </c>
      <c r="L23" s="103" t="str">
        <f t="shared" si="6"/>
        <v>-</v>
      </c>
      <c r="M23" s="215"/>
      <c r="N23" s="92"/>
      <c r="O23" s="92"/>
      <c r="P23" s="86"/>
      <c r="Q23" s="86"/>
      <c r="R23" s="86"/>
      <c r="S23" s="86"/>
      <c r="T23" s="86"/>
    </row>
    <row r="24" spans="1:20" s="51" customFormat="1" ht="21.75" customHeight="1">
      <c r="A24" s="97">
        <v>42</v>
      </c>
      <c r="B24" s="179" t="s">
        <v>164</v>
      </c>
      <c r="C24" s="98">
        <v>8396</v>
      </c>
      <c r="D24" s="99" t="s">
        <v>325</v>
      </c>
      <c r="E24" s="99" t="s">
        <v>107</v>
      </c>
      <c r="F24" s="99" t="s">
        <v>313</v>
      </c>
      <c r="G24" s="100" t="s">
        <v>40</v>
      </c>
      <c r="H24" s="99">
        <v>10</v>
      </c>
      <c r="I24" s="101">
        <v>1</v>
      </c>
      <c r="J24" s="104">
        <v>31.5</v>
      </c>
      <c r="K24" s="105">
        <f t="shared" si="5"/>
        <v>33.075000000000003</v>
      </c>
      <c r="L24" s="105" t="str">
        <f t="shared" si="6"/>
        <v>-</v>
      </c>
      <c r="M24" s="215"/>
      <c r="N24" s="92"/>
      <c r="O24" s="92"/>
      <c r="P24" s="86"/>
      <c r="Q24" s="86"/>
      <c r="R24" s="86"/>
      <c r="S24" s="86"/>
      <c r="T24" s="86"/>
    </row>
    <row r="25" spans="1:20" s="51" customFormat="1" ht="21.75" customHeight="1">
      <c r="A25" s="292" t="s">
        <v>185</v>
      </c>
      <c r="B25" s="292"/>
      <c r="C25" s="292"/>
      <c r="D25" s="292"/>
      <c r="E25" s="292"/>
      <c r="F25" s="292"/>
      <c r="G25" s="292"/>
      <c r="H25" s="292"/>
      <c r="I25" s="292"/>
      <c r="J25" s="292"/>
      <c r="K25" s="292"/>
      <c r="L25" s="292"/>
      <c r="M25" s="215"/>
      <c r="N25" s="92"/>
      <c r="O25"/>
      <c r="P25"/>
      <c r="Q25" s="52"/>
      <c r="R25" s="86"/>
      <c r="S25" s="86"/>
      <c r="T25" s="86"/>
    </row>
    <row r="26" spans="1:20" s="51" customFormat="1" ht="21.75" customHeight="1">
      <c r="A26" s="267">
        <v>49</v>
      </c>
      <c r="B26" s="268" t="s">
        <v>164</v>
      </c>
      <c r="C26" s="269">
        <v>9324</v>
      </c>
      <c r="D26" s="270" t="s">
        <v>302</v>
      </c>
      <c r="E26" s="109" t="s">
        <v>107</v>
      </c>
      <c r="F26" s="109" t="s">
        <v>80</v>
      </c>
      <c r="G26" s="109" t="s">
        <v>40</v>
      </c>
      <c r="H26" s="270">
        <v>50</v>
      </c>
      <c r="I26" s="271">
        <v>1</v>
      </c>
      <c r="J26" s="114">
        <v>7.95</v>
      </c>
      <c r="K26" s="115">
        <f t="shared" ref="K26:K29" si="7">IF(I26=1,(ROUNDUP((J26*0.05+J26),3)),ROUNDUP((J26*0.05+J26),3))</f>
        <v>8.347999999999999</v>
      </c>
      <c r="L26" s="115" t="str">
        <f>IF(I26=1,"-",IF(AND(I26="",L15="-"),"-",ROUNDUP((J26*0.2)+J26,3)))</f>
        <v>-</v>
      </c>
      <c r="M26" s="215"/>
      <c r="N26" s="92"/>
      <c r="O26"/>
      <c r="P26"/>
      <c r="Q26" s="52"/>
      <c r="R26" s="86"/>
      <c r="S26" s="86"/>
      <c r="T26" s="86"/>
    </row>
    <row r="27" spans="1:20" s="51" customFormat="1" ht="21.75" customHeight="1">
      <c r="A27" s="267"/>
      <c r="B27" s="268"/>
      <c r="C27" s="269"/>
      <c r="D27" s="270"/>
      <c r="E27" s="109" t="s">
        <v>107</v>
      </c>
      <c r="F27" s="109" t="s">
        <v>78</v>
      </c>
      <c r="G27" s="109" t="s">
        <v>40</v>
      </c>
      <c r="H27" s="270"/>
      <c r="I27" s="271"/>
      <c r="J27" s="114">
        <v>8.35</v>
      </c>
      <c r="K27" s="115">
        <f t="shared" si="7"/>
        <v>8.7679999999999989</v>
      </c>
      <c r="L27" s="115" t="str">
        <f>IF(I27=1,"-",IF(AND(I27="",L12="-"),"-",ROUNDUP((J27*0.2)+J27,3)))</f>
        <v>-</v>
      </c>
      <c r="M27" s="215"/>
      <c r="N27" s="92"/>
      <c r="O27"/>
      <c r="P27"/>
      <c r="Q27" s="52"/>
      <c r="R27" s="86"/>
      <c r="S27" s="86"/>
      <c r="T27" s="86"/>
    </row>
    <row r="28" spans="1:20" s="51" customFormat="1" ht="21.75" customHeight="1">
      <c r="A28" s="272">
        <v>49</v>
      </c>
      <c r="B28" s="273" t="s">
        <v>164</v>
      </c>
      <c r="C28" s="274">
        <v>9325</v>
      </c>
      <c r="D28" s="259" t="s">
        <v>303</v>
      </c>
      <c r="E28" s="91" t="s">
        <v>107</v>
      </c>
      <c r="F28" s="91" t="s">
        <v>80</v>
      </c>
      <c r="G28" s="91" t="s">
        <v>40</v>
      </c>
      <c r="H28" s="259">
        <v>25</v>
      </c>
      <c r="I28" s="260">
        <v>1</v>
      </c>
      <c r="J28" s="102">
        <v>9.9499999999999993</v>
      </c>
      <c r="K28" s="103">
        <f t="shared" si="7"/>
        <v>10.447999999999999</v>
      </c>
      <c r="L28" s="103" t="str">
        <f>IF(I28=1,"-",IF(AND(I28="",L13="-"),"-",ROUNDUP((J28*0.2)+J28,3)))</f>
        <v>-</v>
      </c>
      <c r="M28" s="215"/>
      <c r="N28" s="92"/>
      <c r="O28"/>
      <c r="P28"/>
      <c r="Q28" s="52"/>
      <c r="R28" s="86"/>
      <c r="S28" s="86"/>
      <c r="T28" s="86"/>
    </row>
    <row r="29" spans="1:20" s="51" customFormat="1" ht="21.75" customHeight="1">
      <c r="A29" s="272"/>
      <c r="B29" s="273"/>
      <c r="C29" s="274"/>
      <c r="D29" s="259"/>
      <c r="E29" s="91" t="s">
        <v>107</v>
      </c>
      <c r="F29" s="91" t="s">
        <v>78</v>
      </c>
      <c r="G29" s="91" t="s">
        <v>40</v>
      </c>
      <c r="H29" s="259"/>
      <c r="I29" s="260"/>
      <c r="J29" s="102">
        <v>10.5</v>
      </c>
      <c r="K29" s="103">
        <f t="shared" si="7"/>
        <v>11.025</v>
      </c>
      <c r="L29" s="103" t="str">
        <f>IF(I29=1,"-",IF(AND(I29="",L16="-"),"-",ROUNDUP((J29*0.2)+J29,3)))</f>
        <v>-</v>
      </c>
      <c r="M29" s="215"/>
      <c r="N29" s="92"/>
      <c r="O29"/>
      <c r="P29"/>
      <c r="Q29" s="52"/>
      <c r="R29" s="86"/>
      <c r="S29" s="86"/>
      <c r="T29" s="86"/>
    </row>
    <row r="30" spans="1:20" s="52" customFormat="1" ht="21.75" customHeight="1">
      <c r="A30" s="267">
        <v>50</v>
      </c>
      <c r="B30" s="293" t="s">
        <v>53</v>
      </c>
      <c r="C30" s="269">
        <v>9317</v>
      </c>
      <c r="D30" s="270" t="s">
        <v>186</v>
      </c>
      <c r="E30" s="109" t="s">
        <v>107</v>
      </c>
      <c r="F30" s="109" t="s">
        <v>62</v>
      </c>
      <c r="G30" s="109" t="s">
        <v>40</v>
      </c>
      <c r="H30" s="270">
        <v>50</v>
      </c>
      <c r="I30" s="271">
        <v>1</v>
      </c>
      <c r="J30" s="114">
        <v>8.9499999999999993</v>
      </c>
      <c r="K30" s="115">
        <f t="shared" ref="K30:K94" si="8">IF(I30=1,(ROUNDUP((J30*0.05+J30),3)),ROUNDUP((J30*0.05+J30),3))</f>
        <v>9.3979999999999997</v>
      </c>
      <c r="L30" s="115" t="str">
        <f>IF(I30=1,"-",IF(AND(I30="",L9="-"),"-",ROUNDUP((J30*0.2)+J30,3)))</f>
        <v>-</v>
      </c>
      <c r="M30" s="215"/>
      <c r="N30"/>
      <c r="O30"/>
      <c r="P30"/>
    </row>
    <row r="31" spans="1:20" s="52" customFormat="1" ht="21.75" customHeight="1">
      <c r="A31" s="267"/>
      <c r="B31" s="293"/>
      <c r="C31" s="269"/>
      <c r="D31" s="270"/>
      <c r="E31" s="109" t="s">
        <v>107</v>
      </c>
      <c r="F31" s="109" t="s">
        <v>78</v>
      </c>
      <c r="G31" s="109" t="s">
        <v>40</v>
      </c>
      <c r="H31" s="270"/>
      <c r="I31" s="271"/>
      <c r="J31" s="114">
        <v>9.75</v>
      </c>
      <c r="K31" s="115">
        <f t="shared" si="8"/>
        <v>10.238</v>
      </c>
      <c r="L31" s="115" t="str">
        <f>IF(I30=1,"-",IF(AND(I30="",L25="-"),"-",ROUNDUP((J31*0.2)+J31,3)))</f>
        <v>-</v>
      </c>
      <c r="M31" s="215"/>
      <c r="N31"/>
      <c r="O31"/>
      <c r="P31"/>
    </row>
    <row r="32" spans="1:20" s="52" customFormat="1" ht="21.75" customHeight="1">
      <c r="A32" s="267"/>
      <c r="B32" s="293"/>
      <c r="C32" s="269"/>
      <c r="D32" s="270"/>
      <c r="E32" s="109" t="s">
        <v>107</v>
      </c>
      <c r="F32" s="109" t="s">
        <v>79</v>
      </c>
      <c r="G32" s="109" t="s">
        <v>40</v>
      </c>
      <c r="H32" s="270"/>
      <c r="I32" s="271"/>
      <c r="J32" s="114">
        <v>10</v>
      </c>
      <c r="K32" s="115">
        <f t="shared" si="8"/>
        <v>10.5</v>
      </c>
      <c r="L32" s="115" t="str">
        <f t="shared" ref="L32:L94" si="9">IF(I32=1,"-",IF(AND(I32="",L30="-"),"-",ROUNDUP((J32*0.2)+J32,3)))</f>
        <v>-</v>
      </c>
      <c r="M32" s="215"/>
      <c r="N32"/>
      <c r="O32"/>
      <c r="P32"/>
    </row>
    <row r="33" spans="1:42" s="52" customFormat="1" ht="21.75" customHeight="1">
      <c r="A33" s="272">
        <v>50</v>
      </c>
      <c r="B33" s="284" t="s">
        <v>53</v>
      </c>
      <c r="C33" s="274">
        <v>9318</v>
      </c>
      <c r="D33" s="259" t="s">
        <v>187</v>
      </c>
      <c r="E33" s="95" t="s">
        <v>107</v>
      </c>
      <c r="F33" s="95" t="s">
        <v>62</v>
      </c>
      <c r="G33" s="95" t="s">
        <v>40</v>
      </c>
      <c r="H33" s="259">
        <v>50</v>
      </c>
      <c r="I33" s="260">
        <v>1</v>
      </c>
      <c r="J33" s="102">
        <v>9.9499999999999993</v>
      </c>
      <c r="K33" s="103">
        <f t="shared" si="8"/>
        <v>10.447999999999999</v>
      </c>
      <c r="L33" s="103" t="str">
        <f t="shared" si="9"/>
        <v>-</v>
      </c>
      <c r="M33" s="215"/>
      <c r="N33"/>
      <c r="O33"/>
      <c r="P33"/>
    </row>
    <row r="34" spans="1:42" s="52" customFormat="1" ht="21.75" customHeight="1">
      <c r="A34" s="272"/>
      <c r="B34" s="284"/>
      <c r="C34" s="274"/>
      <c r="D34" s="259"/>
      <c r="E34" s="95" t="s">
        <v>107</v>
      </c>
      <c r="F34" s="95" t="s">
        <v>78</v>
      </c>
      <c r="G34" s="95" t="s">
        <v>40</v>
      </c>
      <c r="H34" s="259"/>
      <c r="I34" s="260"/>
      <c r="J34" s="102">
        <v>10.5</v>
      </c>
      <c r="K34" s="103">
        <f t="shared" si="8"/>
        <v>11.025</v>
      </c>
      <c r="L34" s="103" t="str">
        <f t="shared" si="9"/>
        <v>-</v>
      </c>
      <c r="M34" s="215"/>
      <c r="N34"/>
      <c r="O34"/>
      <c r="P34"/>
    </row>
    <row r="35" spans="1:42" s="52" customFormat="1" ht="21.75" customHeight="1">
      <c r="A35" s="272"/>
      <c r="B35" s="284"/>
      <c r="C35" s="274"/>
      <c r="D35" s="259"/>
      <c r="E35" s="95" t="s">
        <v>107</v>
      </c>
      <c r="F35" s="95" t="s">
        <v>79</v>
      </c>
      <c r="G35" s="95" t="s">
        <v>40</v>
      </c>
      <c r="H35" s="259"/>
      <c r="I35" s="260"/>
      <c r="J35" s="102">
        <v>11</v>
      </c>
      <c r="K35" s="103">
        <f t="shared" si="8"/>
        <v>11.55</v>
      </c>
      <c r="L35" s="103" t="str">
        <f t="shared" si="9"/>
        <v>-</v>
      </c>
      <c r="M35" s="215"/>
      <c r="N35"/>
      <c r="O35"/>
      <c r="P35"/>
    </row>
    <row r="36" spans="1:42" s="52" customFormat="1" ht="21.75" customHeight="1">
      <c r="A36" s="267">
        <v>51</v>
      </c>
      <c r="B36" s="293" t="s">
        <v>53</v>
      </c>
      <c r="C36" s="269">
        <v>9319</v>
      </c>
      <c r="D36" s="270" t="s">
        <v>188</v>
      </c>
      <c r="E36" s="109" t="s">
        <v>107</v>
      </c>
      <c r="F36" s="109" t="s">
        <v>62</v>
      </c>
      <c r="G36" s="109" t="s">
        <v>40</v>
      </c>
      <c r="H36" s="270">
        <v>50</v>
      </c>
      <c r="I36" s="271">
        <v>1</v>
      </c>
      <c r="J36" s="114">
        <v>12.5</v>
      </c>
      <c r="K36" s="115">
        <f t="shared" si="8"/>
        <v>13.125</v>
      </c>
      <c r="L36" s="115" t="str">
        <f t="shared" si="9"/>
        <v>-</v>
      </c>
      <c r="M36" s="215"/>
      <c r="N36"/>
      <c r="O36"/>
      <c r="P36"/>
    </row>
    <row r="37" spans="1:42" s="52" customFormat="1" ht="21.75" customHeight="1">
      <c r="A37" s="267"/>
      <c r="B37" s="293"/>
      <c r="C37" s="269"/>
      <c r="D37" s="270"/>
      <c r="E37" s="109" t="s">
        <v>107</v>
      </c>
      <c r="F37" s="109" t="s">
        <v>78</v>
      </c>
      <c r="G37" s="109" t="s">
        <v>40</v>
      </c>
      <c r="H37" s="270"/>
      <c r="I37" s="271"/>
      <c r="J37" s="114">
        <v>13.15</v>
      </c>
      <c r="K37" s="115">
        <f t="shared" si="8"/>
        <v>13.808</v>
      </c>
      <c r="L37" s="115" t="str">
        <f t="shared" si="9"/>
        <v>-</v>
      </c>
      <c r="M37" s="215"/>
      <c r="N37"/>
      <c r="O37"/>
      <c r="P37"/>
    </row>
    <row r="38" spans="1:42" s="6" customFormat="1" ht="21.75" customHeight="1">
      <c r="A38" s="267"/>
      <c r="B38" s="293"/>
      <c r="C38" s="269"/>
      <c r="D38" s="270"/>
      <c r="E38" s="109" t="s">
        <v>107</v>
      </c>
      <c r="F38" s="109" t="s">
        <v>79</v>
      </c>
      <c r="G38" s="109" t="s">
        <v>40</v>
      </c>
      <c r="H38" s="270"/>
      <c r="I38" s="271"/>
      <c r="J38" s="114">
        <v>13.8</v>
      </c>
      <c r="K38" s="115">
        <f t="shared" si="8"/>
        <v>14.49</v>
      </c>
      <c r="L38" s="115" t="str">
        <f t="shared" si="9"/>
        <v>-</v>
      </c>
      <c r="M38" s="215"/>
      <c r="N38"/>
      <c r="O38"/>
      <c r="P38"/>
    </row>
    <row r="39" spans="1:42" s="6" customFormat="1" ht="21.75" customHeight="1">
      <c r="A39" s="258">
        <v>52</v>
      </c>
      <c r="B39" s="275" t="s">
        <v>53</v>
      </c>
      <c r="C39" s="257">
        <v>9315</v>
      </c>
      <c r="D39" s="252" t="s">
        <v>189</v>
      </c>
      <c r="E39" s="91" t="s">
        <v>107</v>
      </c>
      <c r="F39" s="91" t="s">
        <v>62</v>
      </c>
      <c r="G39" s="91" t="s">
        <v>40</v>
      </c>
      <c r="H39" s="252">
        <v>50</v>
      </c>
      <c r="I39" s="253">
        <v>1</v>
      </c>
      <c r="J39" s="102">
        <v>6.5</v>
      </c>
      <c r="K39" s="103">
        <f t="shared" si="8"/>
        <v>6.8250000000000002</v>
      </c>
      <c r="L39" s="103" t="str">
        <f t="shared" si="9"/>
        <v>-</v>
      </c>
      <c r="M39" s="215"/>
      <c r="N39"/>
      <c r="O39"/>
      <c r="P39"/>
    </row>
    <row r="40" spans="1:42" s="6" customFormat="1" ht="21.75" customHeight="1">
      <c r="A40" s="258"/>
      <c r="B40" s="275"/>
      <c r="C40" s="257"/>
      <c r="D40" s="252"/>
      <c r="E40" s="91" t="s">
        <v>107</v>
      </c>
      <c r="F40" s="91" t="s">
        <v>78</v>
      </c>
      <c r="G40" s="91" t="s">
        <v>40</v>
      </c>
      <c r="H40" s="252"/>
      <c r="I40" s="253"/>
      <c r="J40" s="102">
        <v>6.9</v>
      </c>
      <c r="K40" s="103">
        <f t="shared" si="8"/>
        <v>7.2450000000000001</v>
      </c>
      <c r="L40" s="103" t="str">
        <f t="shared" si="9"/>
        <v>-</v>
      </c>
      <c r="M40" s="215"/>
      <c r="N40"/>
      <c r="O40"/>
      <c r="P40"/>
    </row>
    <row r="41" spans="1:42" s="6" customFormat="1" ht="21.75" customHeight="1">
      <c r="A41" s="258"/>
      <c r="B41" s="275"/>
      <c r="C41" s="257"/>
      <c r="D41" s="252"/>
      <c r="E41" s="91" t="s">
        <v>107</v>
      </c>
      <c r="F41" s="91" t="s">
        <v>79</v>
      </c>
      <c r="G41" s="91" t="s">
        <v>40</v>
      </c>
      <c r="H41" s="252"/>
      <c r="I41" s="253"/>
      <c r="J41" s="102">
        <v>7.25</v>
      </c>
      <c r="K41" s="103">
        <f t="shared" si="8"/>
        <v>7.6130000000000004</v>
      </c>
      <c r="L41" s="103" t="str">
        <f t="shared" si="9"/>
        <v>-</v>
      </c>
      <c r="M41" s="215"/>
      <c r="N41"/>
      <c r="O41"/>
      <c r="P41"/>
    </row>
    <row r="42" spans="1:42" s="6" customFormat="1" ht="21.75" customHeight="1">
      <c r="A42" s="267">
        <v>52</v>
      </c>
      <c r="B42" s="293" t="s">
        <v>53</v>
      </c>
      <c r="C42" s="269">
        <v>9316</v>
      </c>
      <c r="D42" s="270" t="s">
        <v>190</v>
      </c>
      <c r="E42" s="109" t="s">
        <v>107</v>
      </c>
      <c r="F42" s="109" t="s">
        <v>62</v>
      </c>
      <c r="G42" s="109" t="s">
        <v>40</v>
      </c>
      <c r="H42" s="270">
        <v>25</v>
      </c>
      <c r="I42" s="271">
        <v>1</v>
      </c>
      <c r="J42" s="114">
        <v>8.5</v>
      </c>
      <c r="K42" s="115">
        <f t="shared" si="8"/>
        <v>8.9250000000000007</v>
      </c>
      <c r="L42" s="115" t="str">
        <f t="shared" si="9"/>
        <v>-</v>
      </c>
      <c r="M42" s="215"/>
      <c r="N42"/>
      <c r="O42"/>
      <c r="P42"/>
    </row>
    <row r="43" spans="1:42" s="6" customFormat="1" ht="21.75" customHeight="1">
      <c r="A43" s="267"/>
      <c r="B43" s="293"/>
      <c r="C43" s="269"/>
      <c r="D43" s="270"/>
      <c r="E43" s="109" t="s">
        <v>107</v>
      </c>
      <c r="F43" s="109" t="s">
        <v>78</v>
      </c>
      <c r="G43" s="109" t="s">
        <v>40</v>
      </c>
      <c r="H43" s="270"/>
      <c r="I43" s="271"/>
      <c r="J43" s="114">
        <v>8.9499999999999993</v>
      </c>
      <c r="K43" s="115">
        <f t="shared" si="8"/>
        <v>9.3979999999999997</v>
      </c>
      <c r="L43" s="115" t="str">
        <f t="shared" si="9"/>
        <v>-</v>
      </c>
      <c r="M43" s="215"/>
      <c r="N43"/>
      <c r="O43"/>
      <c r="P43"/>
      <c r="Q43"/>
      <c r="R43"/>
      <c r="S43"/>
      <c r="T43"/>
      <c r="U43"/>
      <c r="V43"/>
      <c r="W43"/>
      <c r="X43"/>
      <c r="Y43"/>
      <c r="Z43"/>
      <c r="AA43"/>
      <c r="AB43"/>
      <c r="AC43"/>
      <c r="AD43"/>
      <c r="AE43"/>
      <c r="AF43"/>
      <c r="AG43"/>
      <c r="AH43"/>
      <c r="AI43"/>
      <c r="AJ43"/>
      <c r="AK43"/>
      <c r="AL43"/>
      <c r="AM43"/>
      <c r="AN43"/>
      <c r="AO43"/>
      <c r="AP43"/>
    </row>
    <row r="44" spans="1:42" s="51" customFormat="1" ht="24.95" customHeight="1">
      <c r="A44" s="267"/>
      <c r="B44" s="293"/>
      <c r="C44" s="269"/>
      <c r="D44" s="270"/>
      <c r="E44" s="109" t="s">
        <v>107</v>
      </c>
      <c r="F44" s="109" t="s">
        <v>79</v>
      </c>
      <c r="G44" s="109" t="s">
        <v>40</v>
      </c>
      <c r="H44" s="270"/>
      <c r="I44" s="271"/>
      <c r="J44" s="114">
        <v>9.5</v>
      </c>
      <c r="K44" s="115">
        <f t="shared" si="8"/>
        <v>9.9749999999999996</v>
      </c>
      <c r="L44" s="115" t="str">
        <f t="shared" si="9"/>
        <v>-</v>
      </c>
      <c r="M44" s="215"/>
      <c r="N44"/>
      <c r="O44"/>
      <c r="P44"/>
    </row>
    <row r="45" spans="1:42" s="51" customFormat="1" ht="24.95" customHeight="1">
      <c r="A45" s="258">
        <v>54</v>
      </c>
      <c r="B45" s="275" t="s">
        <v>53</v>
      </c>
      <c r="C45" s="257">
        <v>9310</v>
      </c>
      <c r="D45" s="252" t="s">
        <v>191</v>
      </c>
      <c r="E45" s="91" t="s">
        <v>107</v>
      </c>
      <c r="F45" s="91" t="s">
        <v>62</v>
      </c>
      <c r="G45" s="91" t="s">
        <v>40</v>
      </c>
      <c r="H45" s="252">
        <v>50</v>
      </c>
      <c r="I45" s="253">
        <v>1</v>
      </c>
      <c r="J45" s="102">
        <v>4.6500000000000004</v>
      </c>
      <c r="K45" s="103">
        <f t="shared" si="8"/>
        <v>4.883</v>
      </c>
      <c r="L45" s="103" t="str">
        <f t="shared" si="9"/>
        <v>-</v>
      </c>
      <c r="M45" s="215"/>
      <c r="N45"/>
      <c r="O45"/>
      <c r="P45"/>
    </row>
    <row r="46" spans="1:42" s="51" customFormat="1" ht="24.95" customHeight="1">
      <c r="A46" s="258"/>
      <c r="B46" s="275"/>
      <c r="C46" s="257"/>
      <c r="D46" s="252"/>
      <c r="E46" s="91" t="s">
        <v>107</v>
      </c>
      <c r="F46" s="91" t="s">
        <v>78</v>
      </c>
      <c r="G46" s="91" t="s">
        <v>40</v>
      </c>
      <c r="H46" s="252"/>
      <c r="I46" s="253"/>
      <c r="J46" s="102">
        <v>4.9000000000000004</v>
      </c>
      <c r="K46" s="103">
        <f t="shared" si="8"/>
        <v>5.1449999999999996</v>
      </c>
      <c r="L46" s="103" t="str">
        <f t="shared" si="9"/>
        <v>-</v>
      </c>
      <c r="M46" s="215"/>
      <c r="N46"/>
      <c r="O46"/>
      <c r="P46"/>
    </row>
    <row r="47" spans="1:42" s="51" customFormat="1" ht="24.95" customHeight="1">
      <c r="A47" s="258"/>
      <c r="B47" s="275"/>
      <c r="C47" s="257"/>
      <c r="D47" s="252"/>
      <c r="E47" s="91" t="s">
        <v>107</v>
      </c>
      <c r="F47" s="91" t="s">
        <v>79</v>
      </c>
      <c r="G47" s="91" t="s">
        <v>40</v>
      </c>
      <c r="H47" s="252"/>
      <c r="I47" s="253"/>
      <c r="J47" s="102">
        <v>5.2</v>
      </c>
      <c r="K47" s="103">
        <f t="shared" si="8"/>
        <v>5.46</v>
      </c>
      <c r="L47" s="103" t="str">
        <f t="shared" si="9"/>
        <v>-</v>
      </c>
      <c r="M47" s="215"/>
      <c r="N47"/>
      <c r="O47"/>
      <c r="P47"/>
    </row>
    <row r="48" spans="1:42" s="51" customFormat="1" ht="24.95" customHeight="1">
      <c r="A48" s="267">
        <v>54</v>
      </c>
      <c r="B48" s="293" t="s">
        <v>53</v>
      </c>
      <c r="C48" s="269">
        <v>9306</v>
      </c>
      <c r="D48" s="270" t="s">
        <v>192</v>
      </c>
      <c r="E48" s="109" t="s">
        <v>107</v>
      </c>
      <c r="F48" s="109" t="s">
        <v>62</v>
      </c>
      <c r="G48" s="109" t="s">
        <v>40</v>
      </c>
      <c r="H48" s="270">
        <v>25</v>
      </c>
      <c r="I48" s="271">
        <v>1</v>
      </c>
      <c r="J48" s="114">
        <v>6.25</v>
      </c>
      <c r="K48" s="115">
        <f t="shared" si="8"/>
        <v>6.5630000000000006</v>
      </c>
      <c r="L48" s="115" t="str">
        <f t="shared" si="9"/>
        <v>-</v>
      </c>
      <c r="M48" s="215"/>
      <c r="N48"/>
      <c r="O48"/>
      <c r="P48"/>
    </row>
    <row r="49" spans="1:16" s="51" customFormat="1" ht="24.95" customHeight="1">
      <c r="A49" s="267"/>
      <c r="B49" s="293"/>
      <c r="C49" s="269"/>
      <c r="D49" s="270"/>
      <c r="E49" s="109" t="s">
        <v>107</v>
      </c>
      <c r="F49" s="109" t="s">
        <v>78</v>
      </c>
      <c r="G49" s="109" t="s">
        <v>40</v>
      </c>
      <c r="H49" s="270"/>
      <c r="I49" s="271"/>
      <c r="J49" s="114">
        <v>6.6</v>
      </c>
      <c r="K49" s="115">
        <f t="shared" si="8"/>
        <v>6.93</v>
      </c>
      <c r="L49" s="115" t="str">
        <f t="shared" si="9"/>
        <v>-</v>
      </c>
      <c r="M49" s="215"/>
      <c r="N49"/>
      <c r="O49"/>
      <c r="P49"/>
    </row>
    <row r="50" spans="1:16" s="51" customFormat="1" ht="24.95" customHeight="1">
      <c r="A50" s="267"/>
      <c r="B50" s="293"/>
      <c r="C50" s="269"/>
      <c r="D50" s="270"/>
      <c r="E50" s="109" t="s">
        <v>107</v>
      </c>
      <c r="F50" s="109" t="s">
        <v>79</v>
      </c>
      <c r="G50" s="109" t="s">
        <v>40</v>
      </c>
      <c r="H50" s="270"/>
      <c r="I50" s="271"/>
      <c r="J50" s="114">
        <v>6.95</v>
      </c>
      <c r="K50" s="115">
        <f t="shared" si="8"/>
        <v>7.298</v>
      </c>
      <c r="L50" s="115" t="str">
        <f t="shared" si="9"/>
        <v>-</v>
      </c>
      <c r="M50" s="215"/>
      <c r="N50"/>
      <c r="O50"/>
      <c r="P50"/>
    </row>
    <row r="51" spans="1:16" s="51" customFormat="1" ht="24.95" customHeight="1">
      <c r="A51" s="258">
        <v>55</v>
      </c>
      <c r="B51" s="275" t="s">
        <v>53</v>
      </c>
      <c r="C51" s="257">
        <v>9302</v>
      </c>
      <c r="D51" s="252" t="s">
        <v>193</v>
      </c>
      <c r="E51" s="91" t="s">
        <v>107</v>
      </c>
      <c r="F51" s="91" t="s">
        <v>62</v>
      </c>
      <c r="G51" s="91" t="s">
        <v>40</v>
      </c>
      <c r="H51" s="252">
        <v>50</v>
      </c>
      <c r="I51" s="253">
        <v>1</v>
      </c>
      <c r="J51" s="102">
        <v>4.95</v>
      </c>
      <c r="K51" s="103">
        <f t="shared" si="8"/>
        <v>5.1980000000000004</v>
      </c>
      <c r="L51" s="103" t="str">
        <f t="shared" si="9"/>
        <v>-</v>
      </c>
      <c r="M51" s="215"/>
      <c r="N51"/>
      <c r="O51"/>
      <c r="P51"/>
    </row>
    <row r="52" spans="1:16" s="51" customFormat="1" ht="24.95" customHeight="1">
      <c r="A52" s="258"/>
      <c r="B52" s="275"/>
      <c r="C52" s="257"/>
      <c r="D52" s="252"/>
      <c r="E52" s="91" t="s">
        <v>107</v>
      </c>
      <c r="F52" s="91" t="s">
        <v>78</v>
      </c>
      <c r="G52" s="91" t="s">
        <v>40</v>
      </c>
      <c r="H52" s="252"/>
      <c r="I52" s="253"/>
      <c r="J52" s="102">
        <v>5.5</v>
      </c>
      <c r="K52" s="103">
        <f t="shared" si="8"/>
        <v>5.7750000000000004</v>
      </c>
      <c r="L52" s="103" t="str">
        <f t="shared" si="9"/>
        <v>-</v>
      </c>
      <c r="M52" s="215"/>
      <c r="N52"/>
      <c r="O52"/>
      <c r="P52"/>
    </row>
    <row r="53" spans="1:16" s="51" customFormat="1" ht="24.95" customHeight="1">
      <c r="A53" s="258"/>
      <c r="B53" s="275"/>
      <c r="C53" s="257"/>
      <c r="D53" s="252"/>
      <c r="E53" s="91" t="s">
        <v>107</v>
      </c>
      <c r="F53" s="91" t="s">
        <v>79</v>
      </c>
      <c r="G53" s="91" t="s">
        <v>40</v>
      </c>
      <c r="H53" s="252"/>
      <c r="I53" s="253"/>
      <c r="J53" s="102">
        <v>5.95</v>
      </c>
      <c r="K53" s="103">
        <f t="shared" si="8"/>
        <v>6.2480000000000002</v>
      </c>
      <c r="L53" s="103" t="str">
        <f t="shared" si="9"/>
        <v>-</v>
      </c>
      <c r="M53" s="215"/>
      <c r="N53"/>
      <c r="O53"/>
      <c r="P53"/>
    </row>
    <row r="54" spans="1:16" s="51" customFormat="1" ht="21.75" customHeight="1">
      <c r="A54" s="267">
        <v>56</v>
      </c>
      <c r="B54" s="293" t="s">
        <v>53</v>
      </c>
      <c r="C54" s="269">
        <v>9313</v>
      </c>
      <c r="D54" s="270" t="s">
        <v>194</v>
      </c>
      <c r="E54" s="109" t="s">
        <v>107</v>
      </c>
      <c r="F54" s="109" t="s">
        <v>62</v>
      </c>
      <c r="G54" s="109" t="s">
        <v>40</v>
      </c>
      <c r="H54" s="270">
        <v>20</v>
      </c>
      <c r="I54" s="271">
        <v>1</v>
      </c>
      <c r="J54" s="114">
        <v>13.95</v>
      </c>
      <c r="K54" s="115">
        <f t="shared" si="8"/>
        <v>14.648</v>
      </c>
      <c r="L54" s="115" t="str">
        <f t="shared" si="9"/>
        <v>-</v>
      </c>
      <c r="M54" s="215"/>
      <c r="N54"/>
      <c r="O54"/>
      <c r="P54"/>
    </row>
    <row r="55" spans="1:16" s="51" customFormat="1" ht="21.75" customHeight="1">
      <c r="A55" s="267"/>
      <c r="B55" s="293"/>
      <c r="C55" s="269"/>
      <c r="D55" s="270"/>
      <c r="E55" s="109" t="s">
        <v>107</v>
      </c>
      <c r="F55" s="109" t="s">
        <v>78</v>
      </c>
      <c r="G55" s="109" t="s">
        <v>40</v>
      </c>
      <c r="H55" s="270"/>
      <c r="I55" s="271"/>
      <c r="J55" s="114">
        <v>14.65</v>
      </c>
      <c r="K55" s="115">
        <f t="shared" si="8"/>
        <v>15.382999999999999</v>
      </c>
      <c r="L55" s="115" t="str">
        <f t="shared" si="9"/>
        <v>-</v>
      </c>
      <c r="M55" s="215"/>
      <c r="N55"/>
      <c r="O55"/>
      <c r="P55"/>
    </row>
    <row r="56" spans="1:16" s="51" customFormat="1" ht="21.75" customHeight="1">
      <c r="A56" s="267"/>
      <c r="B56" s="293"/>
      <c r="C56" s="269"/>
      <c r="D56" s="270"/>
      <c r="E56" s="109" t="s">
        <v>107</v>
      </c>
      <c r="F56" s="109" t="s">
        <v>79</v>
      </c>
      <c r="G56" s="109" t="s">
        <v>40</v>
      </c>
      <c r="H56" s="270"/>
      <c r="I56" s="271"/>
      <c r="J56" s="114">
        <v>15.4</v>
      </c>
      <c r="K56" s="115">
        <f t="shared" si="8"/>
        <v>16.170000000000002</v>
      </c>
      <c r="L56" s="115" t="str">
        <f t="shared" si="9"/>
        <v>-</v>
      </c>
      <c r="M56" s="215"/>
      <c r="N56"/>
      <c r="O56"/>
      <c r="P56"/>
    </row>
    <row r="57" spans="1:16" s="51" customFormat="1" ht="21.75" customHeight="1">
      <c r="A57" s="258">
        <v>58</v>
      </c>
      <c r="B57" s="275" t="s">
        <v>53</v>
      </c>
      <c r="C57" s="257">
        <v>9303</v>
      </c>
      <c r="D57" s="252" t="s">
        <v>195</v>
      </c>
      <c r="E57" s="91" t="s">
        <v>107</v>
      </c>
      <c r="F57" s="91" t="s">
        <v>62</v>
      </c>
      <c r="G57" s="91" t="s">
        <v>40</v>
      </c>
      <c r="H57" s="252">
        <v>15</v>
      </c>
      <c r="I57" s="253">
        <v>1</v>
      </c>
      <c r="J57" s="102">
        <v>21.75</v>
      </c>
      <c r="K57" s="103">
        <f t="shared" si="8"/>
        <v>22.838000000000001</v>
      </c>
      <c r="L57" s="103" t="str">
        <f t="shared" si="9"/>
        <v>-</v>
      </c>
      <c r="M57" s="215"/>
      <c r="N57"/>
      <c r="O57"/>
      <c r="P57"/>
    </row>
    <row r="58" spans="1:16" ht="21.75" customHeight="1">
      <c r="A58" s="258"/>
      <c r="B58" s="275"/>
      <c r="C58" s="257"/>
      <c r="D58" s="252"/>
      <c r="E58" s="91" t="s">
        <v>107</v>
      </c>
      <c r="F58" s="91" t="s">
        <v>78</v>
      </c>
      <c r="G58" s="91" t="s">
        <v>40</v>
      </c>
      <c r="H58" s="252"/>
      <c r="I58" s="253"/>
      <c r="J58" s="102">
        <v>22.95</v>
      </c>
      <c r="K58" s="103">
        <f t="shared" si="8"/>
        <v>24.098000000000003</v>
      </c>
      <c r="L58" s="103" t="str">
        <f t="shared" si="9"/>
        <v>-</v>
      </c>
      <c r="M58" s="215"/>
    </row>
    <row r="59" spans="1:16" ht="21.75" customHeight="1">
      <c r="A59" s="258"/>
      <c r="B59" s="275"/>
      <c r="C59" s="257"/>
      <c r="D59" s="252"/>
      <c r="E59" s="91" t="s">
        <v>107</v>
      </c>
      <c r="F59" s="91" t="s">
        <v>79</v>
      </c>
      <c r="G59" s="91" t="s">
        <v>40</v>
      </c>
      <c r="H59" s="252"/>
      <c r="I59" s="253"/>
      <c r="J59" s="102">
        <v>24</v>
      </c>
      <c r="K59" s="103">
        <f t="shared" si="8"/>
        <v>25.2</v>
      </c>
      <c r="L59" s="103" t="str">
        <f t="shared" si="9"/>
        <v>-</v>
      </c>
      <c r="M59" s="215"/>
    </row>
    <row r="60" spans="1:16" ht="21.75" customHeight="1">
      <c r="A60" s="267">
        <v>58</v>
      </c>
      <c r="B60" s="293" t="s">
        <v>53</v>
      </c>
      <c r="C60" s="269">
        <v>9314</v>
      </c>
      <c r="D60" s="270" t="s">
        <v>196</v>
      </c>
      <c r="E60" s="109" t="s">
        <v>107</v>
      </c>
      <c r="F60" s="109" t="s">
        <v>62</v>
      </c>
      <c r="G60" s="109" t="s">
        <v>40</v>
      </c>
      <c r="H60" s="270">
        <v>25</v>
      </c>
      <c r="I60" s="271">
        <v>1</v>
      </c>
      <c r="J60" s="114">
        <v>10.95</v>
      </c>
      <c r="K60" s="115">
        <f t="shared" si="8"/>
        <v>11.497999999999999</v>
      </c>
      <c r="L60" s="115" t="str">
        <f t="shared" si="9"/>
        <v>-</v>
      </c>
      <c r="M60" s="215"/>
    </row>
    <row r="61" spans="1:16" ht="21.75" customHeight="1">
      <c r="A61" s="267"/>
      <c r="B61" s="293"/>
      <c r="C61" s="269"/>
      <c r="D61" s="270"/>
      <c r="E61" s="109" t="s">
        <v>107</v>
      </c>
      <c r="F61" s="109" t="s">
        <v>78</v>
      </c>
      <c r="G61" s="109" t="s">
        <v>40</v>
      </c>
      <c r="H61" s="270"/>
      <c r="I61" s="271"/>
      <c r="J61" s="114">
        <v>11.5</v>
      </c>
      <c r="K61" s="115">
        <f t="shared" si="8"/>
        <v>12.074999999999999</v>
      </c>
      <c r="L61" s="115" t="str">
        <f t="shared" si="9"/>
        <v>-</v>
      </c>
      <c r="M61" s="215"/>
    </row>
    <row r="62" spans="1:16" ht="21.75" customHeight="1">
      <c r="A62" s="267"/>
      <c r="B62" s="293"/>
      <c r="C62" s="269"/>
      <c r="D62" s="270"/>
      <c r="E62" s="109" t="s">
        <v>107</v>
      </c>
      <c r="F62" s="109" t="s">
        <v>79</v>
      </c>
      <c r="G62" s="109" t="s">
        <v>40</v>
      </c>
      <c r="H62" s="270"/>
      <c r="I62" s="271"/>
      <c r="J62" s="114">
        <v>12</v>
      </c>
      <c r="K62" s="115">
        <f t="shared" si="8"/>
        <v>12.6</v>
      </c>
      <c r="L62" s="115" t="str">
        <f t="shared" si="9"/>
        <v>-</v>
      </c>
      <c r="M62" s="215"/>
    </row>
    <row r="63" spans="1:16" ht="21.75" customHeight="1">
      <c r="A63" s="258">
        <v>59</v>
      </c>
      <c r="B63" s="275" t="s">
        <v>53</v>
      </c>
      <c r="C63" s="257">
        <v>9305</v>
      </c>
      <c r="D63" s="252" t="s">
        <v>197</v>
      </c>
      <c r="E63" s="91" t="s">
        <v>107</v>
      </c>
      <c r="F63" s="91" t="s">
        <v>62</v>
      </c>
      <c r="G63" s="91" t="s">
        <v>40</v>
      </c>
      <c r="H63" s="252">
        <v>15</v>
      </c>
      <c r="I63" s="253">
        <v>1</v>
      </c>
      <c r="J63" s="102">
        <v>11.85</v>
      </c>
      <c r="K63" s="103">
        <f t="shared" si="8"/>
        <v>12.443</v>
      </c>
      <c r="L63" s="103" t="str">
        <f t="shared" si="9"/>
        <v>-</v>
      </c>
      <c r="M63" s="215"/>
    </row>
    <row r="64" spans="1:16" ht="21.75" customHeight="1">
      <c r="A64" s="258"/>
      <c r="B64" s="275"/>
      <c r="C64" s="257"/>
      <c r="D64" s="252"/>
      <c r="E64" s="91" t="s">
        <v>107</v>
      </c>
      <c r="F64" s="91" t="s">
        <v>78</v>
      </c>
      <c r="G64" s="91" t="s">
        <v>40</v>
      </c>
      <c r="H64" s="252"/>
      <c r="I64" s="253"/>
      <c r="J64" s="102">
        <v>12.45</v>
      </c>
      <c r="K64" s="103">
        <f t="shared" si="8"/>
        <v>13.072999999999999</v>
      </c>
      <c r="L64" s="103" t="str">
        <f t="shared" si="9"/>
        <v>-</v>
      </c>
      <c r="M64" s="215"/>
    </row>
    <row r="65" spans="1:42" ht="21.75" customHeight="1">
      <c r="A65" s="258"/>
      <c r="B65" s="275"/>
      <c r="C65" s="257"/>
      <c r="D65" s="252"/>
      <c r="E65" s="91" t="s">
        <v>107</v>
      </c>
      <c r="F65" s="91" t="s">
        <v>79</v>
      </c>
      <c r="G65" s="91" t="s">
        <v>40</v>
      </c>
      <c r="H65" s="252"/>
      <c r="I65" s="253"/>
      <c r="J65" s="102">
        <v>13.1</v>
      </c>
      <c r="K65" s="103">
        <f t="shared" si="8"/>
        <v>13.755000000000001</v>
      </c>
      <c r="L65" s="103" t="str">
        <f t="shared" si="9"/>
        <v>-</v>
      </c>
      <c r="M65" s="215"/>
    </row>
    <row r="66" spans="1:42" s="6" customFormat="1" ht="21.75" customHeight="1">
      <c r="A66" s="267">
        <v>61</v>
      </c>
      <c r="B66" s="293" t="s">
        <v>53</v>
      </c>
      <c r="C66" s="269">
        <v>9304</v>
      </c>
      <c r="D66" s="270" t="s">
        <v>199</v>
      </c>
      <c r="E66" s="109" t="s">
        <v>107</v>
      </c>
      <c r="F66" s="109" t="s">
        <v>62</v>
      </c>
      <c r="G66" s="109" t="s">
        <v>40</v>
      </c>
      <c r="H66" s="270">
        <v>10</v>
      </c>
      <c r="I66" s="271">
        <v>1</v>
      </c>
      <c r="J66" s="114">
        <v>23.95</v>
      </c>
      <c r="K66" s="115">
        <f>IF(I66=1,(ROUNDUP((J66*0.05+J66),3)),ROUNDUP((J66*0.05+J66),3))</f>
        <v>25.148</v>
      </c>
      <c r="L66" s="115" t="str">
        <f>IF(I66=1,"-",IF(AND(I66="",L70="-"),"-",ROUNDUP((J66*0.2)+J66,3)))</f>
        <v>-</v>
      </c>
      <c r="M66" s="215"/>
      <c r="N66"/>
      <c r="O66"/>
      <c r="P66"/>
      <c r="Q66"/>
      <c r="R66"/>
      <c r="S66"/>
      <c r="T66"/>
      <c r="U66"/>
      <c r="V66"/>
      <c r="W66"/>
      <c r="X66"/>
      <c r="Y66"/>
      <c r="Z66"/>
      <c r="AA66"/>
      <c r="AB66"/>
      <c r="AC66"/>
      <c r="AD66"/>
      <c r="AE66"/>
      <c r="AF66"/>
      <c r="AG66"/>
      <c r="AH66"/>
      <c r="AI66"/>
      <c r="AJ66"/>
      <c r="AK66"/>
      <c r="AL66"/>
      <c r="AM66"/>
      <c r="AN66"/>
      <c r="AO66"/>
      <c r="AP66"/>
    </row>
    <row r="67" spans="1:42" s="6" customFormat="1" ht="21.75" customHeight="1">
      <c r="A67" s="267"/>
      <c r="B67" s="293"/>
      <c r="C67" s="269"/>
      <c r="D67" s="270"/>
      <c r="E67" s="109" t="s">
        <v>107</v>
      </c>
      <c r="F67" s="109" t="s">
        <v>78</v>
      </c>
      <c r="G67" s="109" t="s">
        <v>40</v>
      </c>
      <c r="H67" s="270"/>
      <c r="I67" s="271"/>
      <c r="J67" s="114">
        <v>25.15</v>
      </c>
      <c r="K67" s="115">
        <f>IF(I67=1,(ROUNDUP((J67*0.05+J67),3)),ROUNDUP((J67*0.05+J67),3))</f>
        <v>26.408000000000001</v>
      </c>
      <c r="L67" s="115" t="str">
        <f>IF(I67=1,"-",IF(AND(I67="",L71="-"),"-",ROUNDUP((J67*0.2)+J67,3)))</f>
        <v>-</v>
      </c>
      <c r="M67" s="215"/>
      <c r="N67"/>
      <c r="O67"/>
      <c r="P67"/>
      <c r="Q67"/>
      <c r="R67"/>
      <c r="S67"/>
      <c r="T67"/>
      <c r="U67"/>
      <c r="V67"/>
      <c r="W67"/>
      <c r="X67"/>
      <c r="Y67"/>
      <c r="Z67"/>
      <c r="AA67"/>
      <c r="AB67"/>
      <c r="AC67"/>
      <c r="AD67"/>
      <c r="AE67"/>
      <c r="AF67"/>
      <c r="AG67"/>
      <c r="AH67"/>
      <c r="AI67"/>
      <c r="AJ67"/>
      <c r="AK67"/>
      <c r="AL67"/>
      <c r="AM67"/>
      <c r="AN67"/>
      <c r="AO67"/>
      <c r="AP67"/>
    </row>
    <row r="68" spans="1:42" s="6" customFormat="1" ht="21.75" customHeight="1">
      <c r="A68" s="267"/>
      <c r="B68" s="293"/>
      <c r="C68" s="269"/>
      <c r="D68" s="270"/>
      <c r="E68" s="109" t="s">
        <v>107</v>
      </c>
      <c r="F68" s="109" t="s">
        <v>79</v>
      </c>
      <c r="G68" s="109" t="s">
        <v>40</v>
      </c>
      <c r="H68" s="270"/>
      <c r="I68" s="271"/>
      <c r="J68" s="114">
        <v>26.5</v>
      </c>
      <c r="K68" s="115">
        <f>IF(I68=1,(ROUNDUP((J68*0.05+J68),3)),ROUNDUP((J68*0.05+J68),3))</f>
        <v>27.824999999999999</v>
      </c>
      <c r="L68" s="115" t="str">
        <f>IF(I68=1,"-",IF(AND(I68="",L66="-"),"-",ROUNDUP((J68*0.2)+J68,3)))</f>
        <v>-</v>
      </c>
      <c r="M68" s="215"/>
      <c r="N68"/>
      <c r="O68"/>
      <c r="P68"/>
      <c r="Q68"/>
      <c r="R68"/>
      <c r="S68"/>
      <c r="T68"/>
      <c r="U68"/>
      <c r="V68"/>
      <c r="W68"/>
      <c r="X68"/>
      <c r="Y68"/>
      <c r="Z68"/>
      <c r="AA68"/>
      <c r="AB68"/>
      <c r="AC68"/>
      <c r="AD68"/>
      <c r="AE68"/>
      <c r="AF68"/>
      <c r="AG68"/>
      <c r="AH68"/>
      <c r="AI68"/>
      <c r="AJ68"/>
      <c r="AK68"/>
      <c r="AL68"/>
      <c r="AM68"/>
      <c r="AN68"/>
      <c r="AO68"/>
      <c r="AP68"/>
    </row>
    <row r="69" spans="1:42" ht="21.75" customHeight="1">
      <c r="A69" s="258">
        <v>61</v>
      </c>
      <c r="B69" s="275" t="s">
        <v>53</v>
      </c>
      <c r="C69" s="257">
        <v>9320</v>
      </c>
      <c r="D69" s="252" t="s">
        <v>198</v>
      </c>
      <c r="E69" s="91" t="s">
        <v>107</v>
      </c>
      <c r="F69" s="91" t="s">
        <v>62</v>
      </c>
      <c r="G69" s="91" t="s">
        <v>40</v>
      </c>
      <c r="H69" s="252">
        <v>10</v>
      </c>
      <c r="I69" s="253">
        <v>1</v>
      </c>
      <c r="J69" s="102">
        <v>21.95</v>
      </c>
      <c r="K69" s="103">
        <f t="shared" si="8"/>
        <v>23.048000000000002</v>
      </c>
      <c r="L69" s="103" t="str">
        <f>IF(I69=1,"-",IF(AND(I69="",L64="-"),"-",ROUNDUP((J69*0.2)+J69,3)))</f>
        <v>-</v>
      </c>
      <c r="M69" s="215"/>
    </row>
    <row r="70" spans="1:42" ht="21.75" customHeight="1">
      <c r="A70" s="258"/>
      <c r="B70" s="275"/>
      <c r="C70" s="257"/>
      <c r="D70" s="252"/>
      <c r="E70" s="91" t="s">
        <v>107</v>
      </c>
      <c r="F70" s="91" t="s">
        <v>78</v>
      </c>
      <c r="G70" s="91" t="s">
        <v>40</v>
      </c>
      <c r="H70" s="252"/>
      <c r="I70" s="253"/>
      <c r="J70" s="102">
        <v>23.1</v>
      </c>
      <c r="K70" s="103">
        <f t="shared" si="8"/>
        <v>24.254999999999999</v>
      </c>
      <c r="L70" s="103" t="str">
        <f>IF(I70=1,"-",IF(AND(I70="",L65="-"),"-",ROUNDUP((J70*0.2)+J70,3)))</f>
        <v>-</v>
      </c>
      <c r="M70" s="215"/>
    </row>
    <row r="71" spans="1:42" s="6" customFormat="1" ht="21.75" customHeight="1">
      <c r="A71" s="258"/>
      <c r="B71" s="275"/>
      <c r="C71" s="257"/>
      <c r="D71" s="252"/>
      <c r="E71" s="91" t="s">
        <v>107</v>
      </c>
      <c r="F71" s="91" t="s">
        <v>79</v>
      </c>
      <c r="G71" s="91" t="s">
        <v>40</v>
      </c>
      <c r="H71" s="252"/>
      <c r="I71" s="253"/>
      <c r="J71" s="102">
        <v>24.3</v>
      </c>
      <c r="K71" s="103">
        <f t="shared" si="8"/>
        <v>25.515000000000001</v>
      </c>
      <c r="L71" s="103" t="str">
        <f t="shared" si="9"/>
        <v>-</v>
      </c>
      <c r="M71" s="215"/>
      <c r="N71"/>
      <c r="O71"/>
      <c r="P71"/>
      <c r="Q71"/>
      <c r="R71"/>
      <c r="S71"/>
      <c r="T71"/>
      <c r="U71"/>
      <c r="V71"/>
      <c r="W71"/>
      <c r="X71"/>
      <c r="Y71"/>
      <c r="Z71"/>
      <c r="AA71"/>
      <c r="AB71"/>
      <c r="AC71"/>
      <c r="AD71"/>
      <c r="AE71"/>
      <c r="AF71"/>
      <c r="AG71"/>
      <c r="AH71"/>
      <c r="AI71"/>
      <c r="AJ71"/>
      <c r="AK71"/>
      <c r="AL71"/>
      <c r="AM71"/>
      <c r="AN71"/>
      <c r="AO71"/>
      <c r="AP71"/>
    </row>
    <row r="72" spans="1:42" s="6" customFormat="1" ht="21.75" customHeight="1">
      <c r="A72" s="267">
        <v>62</v>
      </c>
      <c r="B72" s="293" t="s">
        <v>53</v>
      </c>
      <c r="C72" s="269">
        <v>9323</v>
      </c>
      <c r="D72" s="270" t="s">
        <v>200</v>
      </c>
      <c r="E72" s="109" t="s">
        <v>107</v>
      </c>
      <c r="F72" s="109" t="s">
        <v>201</v>
      </c>
      <c r="G72" s="109" t="s">
        <v>40</v>
      </c>
      <c r="H72" s="270">
        <v>50</v>
      </c>
      <c r="I72" s="271">
        <v>1</v>
      </c>
      <c r="J72" s="114">
        <v>10.95</v>
      </c>
      <c r="K72" s="115">
        <f t="shared" si="8"/>
        <v>11.497999999999999</v>
      </c>
      <c r="L72" s="115" t="str">
        <f>IF(I72=1,"-",IF(AND(I72="",L67="-"),"-",ROUNDUP((J72*0.2)+J72,3)))</f>
        <v>-</v>
      </c>
      <c r="M72" s="215"/>
      <c r="N72"/>
      <c r="O72"/>
      <c r="P72"/>
      <c r="Q72"/>
      <c r="R72"/>
      <c r="S72"/>
      <c r="T72"/>
      <c r="U72"/>
      <c r="V72"/>
      <c r="W72"/>
      <c r="X72"/>
      <c r="Y72"/>
      <c r="Z72"/>
      <c r="AA72"/>
      <c r="AB72"/>
      <c r="AC72"/>
      <c r="AD72"/>
      <c r="AE72"/>
      <c r="AF72"/>
      <c r="AG72"/>
      <c r="AH72"/>
      <c r="AI72"/>
      <c r="AJ72"/>
      <c r="AK72"/>
      <c r="AL72"/>
      <c r="AM72"/>
      <c r="AN72"/>
      <c r="AO72"/>
      <c r="AP72"/>
    </row>
    <row r="73" spans="1:42" s="6" customFormat="1" ht="21.75" customHeight="1">
      <c r="A73" s="267"/>
      <c r="B73" s="293"/>
      <c r="C73" s="269"/>
      <c r="D73" s="270"/>
      <c r="E73" s="109" t="s">
        <v>107</v>
      </c>
      <c r="F73" s="109" t="s">
        <v>78</v>
      </c>
      <c r="G73" s="109" t="s">
        <v>40</v>
      </c>
      <c r="H73" s="270"/>
      <c r="I73" s="271"/>
      <c r="J73" s="114">
        <v>11.5</v>
      </c>
      <c r="K73" s="115">
        <f t="shared" si="8"/>
        <v>12.074999999999999</v>
      </c>
      <c r="L73" s="115" t="str">
        <f>IF(I73=1,"-",IF(AND(I73="",L68="-"),"-",ROUNDUP((J73*0.2)+J73,3)))</f>
        <v>-</v>
      </c>
      <c r="M73" s="215"/>
      <c r="N73"/>
      <c r="O73"/>
      <c r="P73"/>
      <c r="Q73"/>
      <c r="R73"/>
      <c r="S73"/>
      <c r="T73"/>
      <c r="U73"/>
      <c r="V73"/>
      <c r="W73"/>
      <c r="X73"/>
      <c r="Y73"/>
      <c r="Z73"/>
      <c r="AA73"/>
      <c r="AB73"/>
      <c r="AC73"/>
      <c r="AD73"/>
      <c r="AE73"/>
      <c r="AF73"/>
      <c r="AG73"/>
      <c r="AH73"/>
      <c r="AI73"/>
      <c r="AJ73"/>
      <c r="AK73"/>
      <c r="AL73"/>
      <c r="AM73"/>
      <c r="AN73"/>
      <c r="AO73"/>
      <c r="AP73"/>
    </row>
    <row r="74" spans="1:42" s="6" customFormat="1" ht="21.75" customHeight="1">
      <c r="A74" s="111">
        <v>62</v>
      </c>
      <c r="B74" s="66" t="s">
        <v>53</v>
      </c>
      <c r="C74" s="112">
        <v>9311</v>
      </c>
      <c r="D74" s="91" t="s">
        <v>203</v>
      </c>
      <c r="E74" s="91" t="s">
        <v>107</v>
      </c>
      <c r="F74" s="91" t="s">
        <v>201</v>
      </c>
      <c r="G74" s="91" t="s">
        <v>40</v>
      </c>
      <c r="H74" s="91">
        <v>50</v>
      </c>
      <c r="I74" s="113">
        <v>1</v>
      </c>
      <c r="J74" s="102">
        <v>2.95</v>
      </c>
      <c r="K74" s="103">
        <f>IF(I74=1,(ROUNDUP((J74*0.05+J74),3)),ROUNDUP((J74*0.05+J74),3))</f>
        <v>3.0979999999999999</v>
      </c>
      <c r="L74" s="103" t="str">
        <f>IF(I74=1,"-",IF(AND(I74="",L73="-"),"-",ROUNDUP((J74*0.2)+J74,3)))</f>
        <v>-</v>
      </c>
      <c r="M74" s="215"/>
      <c r="N74"/>
      <c r="O74"/>
      <c r="P74"/>
      <c r="Q74"/>
      <c r="R74"/>
      <c r="S74"/>
      <c r="T74"/>
      <c r="U74"/>
      <c r="V74"/>
      <c r="W74"/>
      <c r="X74"/>
      <c r="Y74"/>
      <c r="Z74"/>
      <c r="AA74"/>
      <c r="AB74"/>
      <c r="AC74"/>
      <c r="AD74"/>
      <c r="AE74"/>
      <c r="AF74"/>
      <c r="AG74"/>
      <c r="AH74"/>
      <c r="AI74"/>
      <c r="AJ74"/>
      <c r="AK74"/>
      <c r="AL74"/>
      <c r="AM74"/>
      <c r="AN74"/>
      <c r="AO74"/>
      <c r="AP74"/>
    </row>
    <row r="75" spans="1:42" s="6" customFormat="1" ht="21.75" customHeight="1">
      <c r="A75" s="106">
        <v>63</v>
      </c>
      <c r="B75" s="107" t="s">
        <v>53</v>
      </c>
      <c r="C75" s="108">
        <v>5063</v>
      </c>
      <c r="D75" s="109" t="s">
        <v>202</v>
      </c>
      <c r="E75" s="109" t="s">
        <v>107</v>
      </c>
      <c r="F75" s="109" t="s">
        <v>201</v>
      </c>
      <c r="G75" s="109" t="s">
        <v>40</v>
      </c>
      <c r="H75" s="109">
        <v>100</v>
      </c>
      <c r="I75" s="110">
        <v>1</v>
      </c>
      <c r="J75" s="114">
        <v>1.38</v>
      </c>
      <c r="K75" s="115">
        <f t="shared" si="8"/>
        <v>1.4490000000000001</v>
      </c>
      <c r="L75" s="115" t="str">
        <f>IF(I75=1,"-",IF(AND(I75="",L72="-"),"-",ROUNDUP((J75*0.2)+J75,3)))</f>
        <v>-</v>
      </c>
      <c r="M75" s="215"/>
      <c r="N75"/>
      <c r="O75"/>
      <c r="P75"/>
      <c r="Q75"/>
      <c r="R75"/>
      <c r="S75"/>
      <c r="T75"/>
      <c r="U75"/>
      <c r="V75"/>
      <c r="W75"/>
      <c r="X75"/>
      <c r="Y75"/>
      <c r="Z75"/>
      <c r="AA75"/>
      <c r="AB75"/>
      <c r="AC75"/>
      <c r="AD75"/>
      <c r="AE75"/>
      <c r="AF75"/>
      <c r="AG75"/>
      <c r="AH75"/>
      <c r="AI75"/>
      <c r="AJ75"/>
      <c r="AK75"/>
      <c r="AL75"/>
      <c r="AM75"/>
      <c r="AN75"/>
      <c r="AO75"/>
      <c r="AP75"/>
    </row>
    <row r="76" spans="1:42" s="6" customFormat="1" ht="21.75" customHeight="1">
      <c r="A76" s="258">
        <v>65</v>
      </c>
      <c r="B76" s="255" t="s">
        <v>164</v>
      </c>
      <c r="C76" s="257">
        <v>9328</v>
      </c>
      <c r="D76" s="252" t="s">
        <v>304</v>
      </c>
      <c r="E76" s="91" t="s">
        <v>107</v>
      </c>
      <c r="F76" s="91" t="s">
        <v>62</v>
      </c>
      <c r="G76" s="91" t="s">
        <v>40</v>
      </c>
      <c r="H76" s="252">
        <v>50</v>
      </c>
      <c r="I76" s="253">
        <v>1</v>
      </c>
      <c r="J76" s="102">
        <v>8.5</v>
      </c>
      <c r="K76" s="103">
        <f t="shared" ref="K76:K77" si="10">IF(I76=1,(ROUNDUP((J76*0.05+J76),3)),ROUNDUP((J76*0.05+J76),3))</f>
        <v>8.9250000000000007</v>
      </c>
      <c r="L76" s="103" t="str">
        <f t="shared" ref="L76:L77" si="11">IF(I76=1,"-",IF(AND(I76="",L73="-"),"-",ROUNDUP((J76*0.2)+J76,3)))</f>
        <v>-</v>
      </c>
      <c r="M76" s="215"/>
      <c r="N76"/>
      <c r="O76"/>
      <c r="P76"/>
      <c r="Q76"/>
      <c r="R76"/>
      <c r="S76"/>
      <c r="T76"/>
      <c r="U76"/>
      <c r="V76"/>
      <c r="W76"/>
      <c r="X76"/>
      <c r="Y76"/>
      <c r="Z76"/>
      <c r="AA76"/>
      <c r="AB76"/>
      <c r="AC76"/>
      <c r="AD76"/>
      <c r="AE76"/>
      <c r="AF76"/>
      <c r="AG76"/>
      <c r="AH76"/>
      <c r="AI76"/>
      <c r="AJ76"/>
      <c r="AK76"/>
      <c r="AL76"/>
      <c r="AM76"/>
      <c r="AN76"/>
      <c r="AO76"/>
      <c r="AP76"/>
    </row>
    <row r="77" spans="1:42" s="6" customFormat="1" ht="21.75" customHeight="1">
      <c r="A77" s="258"/>
      <c r="B77" s="255"/>
      <c r="C77" s="257"/>
      <c r="D77" s="252"/>
      <c r="E77" s="91" t="s">
        <v>107</v>
      </c>
      <c r="F77" s="91" t="s">
        <v>78</v>
      </c>
      <c r="G77" s="91" t="s">
        <v>40</v>
      </c>
      <c r="H77" s="252"/>
      <c r="I77" s="253"/>
      <c r="J77" s="102">
        <v>8.9499999999999993</v>
      </c>
      <c r="K77" s="103">
        <f t="shared" si="10"/>
        <v>9.3979999999999997</v>
      </c>
      <c r="L77" s="103" t="str">
        <f t="shared" si="11"/>
        <v>-</v>
      </c>
      <c r="M77" s="215"/>
      <c r="N77"/>
      <c r="O77"/>
      <c r="P77"/>
      <c r="Q77"/>
      <c r="R77"/>
      <c r="S77"/>
      <c r="T77"/>
      <c r="U77"/>
      <c r="V77"/>
      <c r="W77"/>
      <c r="X77"/>
      <c r="Y77"/>
      <c r="Z77"/>
      <c r="AA77"/>
      <c r="AB77"/>
      <c r="AC77"/>
      <c r="AD77"/>
      <c r="AE77"/>
      <c r="AF77"/>
      <c r="AG77"/>
      <c r="AH77"/>
      <c r="AI77"/>
      <c r="AJ77"/>
      <c r="AK77"/>
      <c r="AL77"/>
      <c r="AM77"/>
      <c r="AN77"/>
      <c r="AO77"/>
      <c r="AP77"/>
    </row>
    <row r="78" spans="1:42" s="6" customFormat="1" ht="21.75" customHeight="1">
      <c r="A78" s="106">
        <v>67</v>
      </c>
      <c r="B78" s="107" t="s">
        <v>53</v>
      </c>
      <c r="C78" s="108">
        <v>9307</v>
      </c>
      <c r="D78" s="109" t="s">
        <v>204</v>
      </c>
      <c r="E78" s="109" t="s">
        <v>107</v>
      </c>
      <c r="F78" s="109" t="s">
        <v>147</v>
      </c>
      <c r="G78" s="109" t="s">
        <v>40</v>
      </c>
      <c r="H78" s="109">
        <v>25</v>
      </c>
      <c r="I78" s="110">
        <v>1</v>
      </c>
      <c r="J78" s="114">
        <v>8.6</v>
      </c>
      <c r="K78" s="115">
        <f t="shared" si="8"/>
        <v>9.0299999999999994</v>
      </c>
      <c r="L78" s="115" t="str">
        <f>IF(I78=1,"-",IF(AND(I78="",L75="-"),"-",ROUNDUP((J78*0.2)+J78,3)))</f>
        <v>-</v>
      </c>
      <c r="M78" s="215"/>
      <c r="N78"/>
      <c r="O78"/>
      <c r="P78"/>
      <c r="Q78"/>
      <c r="R78"/>
      <c r="S78"/>
      <c r="T78"/>
      <c r="U78"/>
      <c r="V78"/>
      <c r="W78"/>
      <c r="X78"/>
      <c r="Y78"/>
      <c r="Z78"/>
      <c r="AA78"/>
      <c r="AB78"/>
      <c r="AC78"/>
      <c r="AD78"/>
      <c r="AE78"/>
      <c r="AF78"/>
      <c r="AG78"/>
      <c r="AH78"/>
      <c r="AI78"/>
      <c r="AJ78"/>
      <c r="AK78"/>
      <c r="AL78"/>
      <c r="AM78"/>
      <c r="AN78"/>
      <c r="AO78"/>
      <c r="AP78"/>
    </row>
    <row r="79" spans="1:42" s="6" customFormat="1" ht="21.75" customHeight="1">
      <c r="A79" s="111">
        <v>67</v>
      </c>
      <c r="B79" s="66" t="s">
        <v>53</v>
      </c>
      <c r="C79" s="112">
        <v>9309</v>
      </c>
      <c r="D79" s="91" t="s">
        <v>205</v>
      </c>
      <c r="E79" s="91" t="s">
        <v>107</v>
      </c>
      <c r="F79" s="91" t="s">
        <v>147</v>
      </c>
      <c r="G79" s="91" t="s">
        <v>40</v>
      </c>
      <c r="H79" s="91">
        <v>25</v>
      </c>
      <c r="I79" s="113">
        <v>1</v>
      </c>
      <c r="J79" s="102">
        <v>9.9499999999999993</v>
      </c>
      <c r="K79" s="103">
        <f t="shared" si="8"/>
        <v>10.447999999999999</v>
      </c>
      <c r="L79" s="103" t="str">
        <f>IF(I79=1,"-",IF(AND(I79="",L74="-"),"-",ROUNDUP((J79*0.2)+J79,3)))</f>
        <v>-</v>
      </c>
      <c r="M79" s="215"/>
      <c r="N79"/>
      <c r="O79"/>
      <c r="P79"/>
      <c r="Q79"/>
      <c r="R79"/>
      <c r="S79"/>
      <c r="T79"/>
      <c r="U79"/>
      <c r="V79"/>
      <c r="W79"/>
      <c r="X79"/>
      <c r="Y79"/>
      <c r="Z79"/>
      <c r="AA79"/>
      <c r="AB79"/>
      <c r="AC79"/>
      <c r="AD79"/>
      <c r="AE79"/>
      <c r="AF79"/>
      <c r="AG79"/>
      <c r="AH79"/>
      <c r="AI79"/>
      <c r="AJ79"/>
      <c r="AK79"/>
      <c r="AL79"/>
      <c r="AM79"/>
      <c r="AN79"/>
      <c r="AO79"/>
      <c r="AP79"/>
    </row>
    <row r="80" spans="1:42" ht="24.95" customHeight="1">
      <c r="A80" s="106">
        <v>68</v>
      </c>
      <c r="B80" s="107" t="s">
        <v>53</v>
      </c>
      <c r="C80" s="108">
        <v>9321</v>
      </c>
      <c r="D80" s="109" t="s">
        <v>206</v>
      </c>
      <c r="E80" s="109" t="s">
        <v>107</v>
      </c>
      <c r="F80" s="109" t="s">
        <v>147</v>
      </c>
      <c r="G80" s="109" t="s">
        <v>40</v>
      </c>
      <c r="H80" s="109">
        <v>20</v>
      </c>
      <c r="I80" s="110">
        <v>1</v>
      </c>
      <c r="J80" s="114">
        <v>13.65</v>
      </c>
      <c r="K80" s="115">
        <f t="shared" si="8"/>
        <v>14.333</v>
      </c>
      <c r="L80" s="115" t="str">
        <f t="shared" si="9"/>
        <v>-</v>
      </c>
      <c r="M80" s="215"/>
    </row>
    <row r="81" spans="1:42" ht="24.95" customHeight="1">
      <c r="A81" s="111">
        <v>68</v>
      </c>
      <c r="B81" s="66" t="s">
        <v>53</v>
      </c>
      <c r="C81" s="112">
        <v>9312</v>
      </c>
      <c r="D81" s="91" t="s">
        <v>207</v>
      </c>
      <c r="E81" s="91" t="s">
        <v>107</v>
      </c>
      <c r="F81" s="91" t="s">
        <v>147</v>
      </c>
      <c r="G81" s="91" t="s">
        <v>40</v>
      </c>
      <c r="H81" s="91">
        <v>25</v>
      </c>
      <c r="I81" s="113">
        <v>1</v>
      </c>
      <c r="J81" s="102">
        <v>12.95</v>
      </c>
      <c r="K81" s="103">
        <f t="shared" si="8"/>
        <v>13.597999999999999</v>
      </c>
      <c r="L81" s="103" t="str">
        <f t="shared" si="9"/>
        <v>-</v>
      </c>
      <c r="M81" s="215"/>
    </row>
    <row r="82" spans="1:42" ht="24.95" customHeight="1">
      <c r="A82" s="106">
        <v>71</v>
      </c>
      <c r="B82" s="107" t="s">
        <v>53</v>
      </c>
      <c r="C82" s="108">
        <v>9301</v>
      </c>
      <c r="D82" s="109" t="s">
        <v>209</v>
      </c>
      <c r="E82" s="109" t="s">
        <v>107</v>
      </c>
      <c r="F82" s="109" t="s">
        <v>147</v>
      </c>
      <c r="G82" s="109" t="s">
        <v>40</v>
      </c>
      <c r="H82" s="109">
        <v>25</v>
      </c>
      <c r="I82" s="110">
        <v>1</v>
      </c>
      <c r="J82" s="114">
        <v>9.1999999999999993</v>
      </c>
      <c r="K82" s="115">
        <f>IF(I82=1,(ROUNDUP((J82*0.05+J82),3)),ROUNDUP((J82*0.05+J82),3))</f>
        <v>9.66</v>
      </c>
      <c r="L82" s="115" t="str">
        <f>IF(I82=1,"-",IF(AND(I82="",L81="-"),"-",ROUNDUP((J82*0.2)+J82,3)))</f>
        <v>-</v>
      </c>
      <c r="M82" s="215"/>
    </row>
    <row r="83" spans="1:42" ht="24.95" customHeight="1">
      <c r="A83" s="111">
        <v>71</v>
      </c>
      <c r="B83" s="66" t="s">
        <v>53</v>
      </c>
      <c r="C83" s="112">
        <v>9300</v>
      </c>
      <c r="D83" s="91" t="s">
        <v>208</v>
      </c>
      <c r="E83" s="91" t="s">
        <v>107</v>
      </c>
      <c r="F83" s="91" t="s">
        <v>147</v>
      </c>
      <c r="G83" s="91" t="s">
        <v>40</v>
      </c>
      <c r="H83" s="91">
        <v>25</v>
      </c>
      <c r="I83" s="113">
        <v>1</v>
      </c>
      <c r="J83" s="102">
        <v>8.9499999999999993</v>
      </c>
      <c r="K83" s="103">
        <f t="shared" si="8"/>
        <v>9.3979999999999997</v>
      </c>
      <c r="L83" s="103" t="str">
        <f>IF(I83=1,"-",IF(AND(I83="",L80="-"),"-",ROUNDUP((J83*0.2)+J83,3)))</f>
        <v>-</v>
      </c>
      <c r="M83" s="215"/>
    </row>
    <row r="84" spans="1:42" ht="24.95" customHeight="1">
      <c r="A84" s="261" t="s">
        <v>210</v>
      </c>
      <c r="B84" s="261"/>
      <c r="C84" s="261"/>
      <c r="D84" s="261"/>
      <c r="E84" s="261"/>
      <c r="F84" s="261"/>
      <c r="G84" s="261"/>
      <c r="H84" s="261"/>
      <c r="I84" s="261"/>
      <c r="J84" s="261"/>
      <c r="K84" s="261"/>
      <c r="L84" s="261"/>
      <c r="M84" s="215"/>
    </row>
    <row r="85" spans="1:42" ht="24.95" customHeight="1">
      <c r="A85" s="272">
        <v>79</v>
      </c>
      <c r="B85" s="284" t="s">
        <v>53</v>
      </c>
      <c r="C85" s="274">
        <v>9401</v>
      </c>
      <c r="D85" s="259" t="s">
        <v>211</v>
      </c>
      <c r="E85" s="95" t="s">
        <v>107</v>
      </c>
      <c r="F85" s="95" t="s">
        <v>62</v>
      </c>
      <c r="G85" s="95" t="s">
        <v>40</v>
      </c>
      <c r="H85" s="259">
        <v>50</v>
      </c>
      <c r="I85" s="260">
        <v>1</v>
      </c>
      <c r="J85" s="102">
        <v>19.95</v>
      </c>
      <c r="K85" s="103">
        <f t="shared" si="8"/>
        <v>20.948</v>
      </c>
      <c r="L85" s="103" t="str">
        <f>IF(I85=1,"-",IF(AND(I85="",L82="-"),"-",ROUNDUP((J85*0.2)+J85,3)))</f>
        <v>-</v>
      </c>
      <c r="M85" s="215"/>
    </row>
    <row r="86" spans="1:42" s="6" customFormat="1" ht="21.75" customHeight="1">
      <c r="A86" s="272"/>
      <c r="B86" s="284"/>
      <c r="C86" s="274"/>
      <c r="D86" s="259"/>
      <c r="E86" s="95" t="s">
        <v>107</v>
      </c>
      <c r="F86" s="95" t="s">
        <v>78</v>
      </c>
      <c r="G86" s="95" t="s">
        <v>40</v>
      </c>
      <c r="H86" s="259"/>
      <c r="I86" s="260"/>
      <c r="J86" s="102">
        <v>20.95</v>
      </c>
      <c r="K86" s="103">
        <f t="shared" si="8"/>
        <v>21.998000000000001</v>
      </c>
      <c r="L86" s="103" t="str">
        <f>IF(I85=1,"-",IF(AND(I85="",L84="-"),"-",ROUNDUP((J86*0.2)+J86,3)))</f>
        <v>-</v>
      </c>
      <c r="M86" s="215"/>
      <c r="N86"/>
      <c r="O86"/>
      <c r="P86"/>
      <c r="Q86"/>
      <c r="R86"/>
      <c r="S86"/>
      <c r="T86"/>
      <c r="U86"/>
      <c r="V86"/>
      <c r="W86"/>
      <c r="X86"/>
      <c r="Y86"/>
      <c r="Z86"/>
      <c r="AA86"/>
      <c r="AB86"/>
      <c r="AC86"/>
      <c r="AD86"/>
      <c r="AE86"/>
      <c r="AF86"/>
      <c r="AG86"/>
      <c r="AH86"/>
      <c r="AI86"/>
      <c r="AJ86"/>
      <c r="AK86"/>
      <c r="AL86"/>
      <c r="AM86"/>
      <c r="AN86"/>
      <c r="AO86"/>
      <c r="AP86"/>
    </row>
    <row r="87" spans="1:42" s="6" customFormat="1" ht="21.75" customHeight="1">
      <c r="A87" s="272"/>
      <c r="B87" s="284"/>
      <c r="C87" s="274"/>
      <c r="D87" s="259"/>
      <c r="E87" s="95" t="s">
        <v>107</v>
      </c>
      <c r="F87" s="95" t="s">
        <v>79</v>
      </c>
      <c r="G87" s="95" t="s">
        <v>40</v>
      </c>
      <c r="H87" s="259"/>
      <c r="I87" s="260"/>
      <c r="J87" s="102">
        <v>21.95</v>
      </c>
      <c r="K87" s="103">
        <f t="shared" si="8"/>
        <v>23.048000000000002</v>
      </c>
      <c r="L87" s="103" t="str">
        <f t="shared" si="9"/>
        <v>-</v>
      </c>
      <c r="M87" s="215"/>
      <c r="N87"/>
      <c r="O87"/>
      <c r="P87"/>
      <c r="Q87"/>
      <c r="R87"/>
      <c r="S87"/>
      <c r="T87"/>
      <c r="U87"/>
      <c r="V87"/>
      <c r="W87"/>
      <c r="X87"/>
      <c r="Y87"/>
      <c r="Z87"/>
      <c r="AA87"/>
      <c r="AB87"/>
      <c r="AC87"/>
      <c r="AD87"/>
      <c r="AE87"/>
      <c r="AF87"/>
      <c r="AG87"/>
      <c r="AH87"/>
      <c r="AI87"/>
      <c r="AJ87"/>
      <c r="AK87"/>
      <c r="AL87"/>
      <c r="AM87"/>
      <c r="AN87"/>
      <c r="AO87"/>
      <c r="AP87"/>
    </row>
    <row r="88" spans="1:42" s="6" customFormat="1" ht="21.75" customHeight="1">
      <c r="A88" s="265">
        <v>79</v>
      </c>
      <c r="B88" s="288" t="s">
        <v>53</v>
      </c>
      <c r="C88" s="263">
        <v>9402</v>
      </c>
      <c r="D88" s="262" t="s">
        <v>212</v>
      </c>
      <c r="E88" s="119" t="s">
        <v>107</v>
      </c>
      <c r="F88" s="119" t="s">
        <v>62</v>
      </c>
      <c r="G88" s="119" t="s">
        <v>40</v>
      </c>
      <c r="H88" s="262">
        <v>25</v>
      </c>
      <c r="I88" s="266">
        <v>1</v>
      </c>
      <c r="J88" s="121">
        <v>22.95</v>
      </c>
      <c r="K88" s="122">
        <f t="shared" si="8"/>
        <v>24.098000000000003</v>
      </c>
      <c r="L88" s="122" t="str">
        <f t="shared" si="9"/>
        <v>-</v>
      </c>
      <c r="M88" s="215"/>
      <c r="N88"/>
      <c r="O88"/>
      <c r="P88"/>
      <c r="Q88"/>
      <c r="R88"/>
      <c r="S88"/>
      <c r="T88"/>
      <c r="U88"/>
      <c r="V88"/>
      <c r="W88"/>
      <c r="X88"/>
      <c r="Y88"/>
      <c r="Z88"/>
      <c r="AA88"/>
      <c r="AB88"/>
      <c r="AC88"/>
      <c r="AD88"/>
      <c r="AE88"/>
      <c r="AF88"/>
      <c r="AG88"/>
      <c r="AH88"/>
      <c r="AI88"/>
      <c r="AJ88"/>
      <c r="AK88"/>
      <c r="AL88"/>
      <c r="AM88"/>
      <c r="AN88"/>
      <c r="AO88"/>
      <c r="AP88"/>
    </row>
    <row r="89" spans="1:42" ht="24.95" customHeight="1">
      <c r="A89" s="265"/>
      <c r="B89" s="288"/>
      <c r="C89" s="263"/>
      <c r="D89" s="262"/>
      <c r="E89" s="119" t="s">
        <v>107</v>
      </c>
      <c r="F89" s="119" t="s">
        <v>78</v>
      </c>
      <c r="G89" s="119" t="s">
        <v>40</v>
      </c>
      <c r="H89" s="262"/>
      <c r="I89" s="266"/>
      <c r="J89" s="121">
        <v>24</v>
      </c>
      <c r="K89" s="122">
        <f t="shared" si="8"/>
        <v>25.2</v>
      </c>
      <c r="L89" s="122" t="str">
        <f t="shared" si="9"/>
        <v>-</v>
      </c>
      <c r="M89" s="215"/>
    </row>
    <row r="90" spans="1:42" ht="24.95" customHeight="1">
      <c r="A90" s="265"/>
      <c r="B90" s="288"/>
      <c r="C90" s="263"/>
      <c r="D90" s="262"/>
      <c r="E90" s="119" t="s">
        <v>107</v>
      </c>
      <c r="F90" s="119" t="s">
        <v>79</v>
      </c>
      <c r="G90" s="119" t="s">
        <v>40</v>
      </c>
      <c r="H90" s="262"/>
      <c r="I90" s="266"/>
      <c r="J90" s="121">
        <v>25</v>
      </c>
      <c r="K90" s="122">
        <f t="shared" si="8"/>
        <v>26.25</v>
      </c>
      <c r="L90" s="122" t="str">
        <f t="shared" si="9"/>
        <v>-</v>
      </c>
      <c r="M90" s="215"/>
    </row>
    <row r="91" spans="1:42" ht="24.95" customHeight="1">
      <c r="A91" s="272">
        <v>81</v>
      </c>
      <c r="B91" s="284" t="s">
        <v>53</v>
      </c>
      <c r="C91" s="274">
        <v>9403</v>
      </c>
      <c r="D91" s="259" t="s">
        <v>213</v>
      </c>
      <c r="E91" s="95" t="s">
        <v>107</v>
      </c>
      <c r="F91" s="95" t="s">
        <v>62</v>
      </c>
      <c r="G91" s="95" t="s">
        <v>40</v>
      </c>
      <c r="H91" s="259">
        <v>20</v>
      </c>
      <c r="I91" s="260">
        <v>1</v>
      </c>
      <c r="J91" s="102">
        <v>24.95</v>
      </c>
      <c r="K91" s="103">
        <f t="shared" si="8"/>
        <v>26.198</v>
      </c>
      <c r="L91" s="103" t="str">
        <f t="shared" si="9"/>
        <v>-</v>
      </c>
      <c r="M91" s="215"/>
    </row>
    <row r="92" spans="1:42" ht="24.95" customHeight="1">
      <c r="A92" s="272"/>
      <c r="B92" s="284"/>
      <c r="C92" s="274"/>
      <c r="D92" s="259"/>
      <c r="E92" s="95" t="s">
        <v>107</v>
      </c>
      <c r="F92" s="95" t="s">
        <v>78</v>
      </c>
      <c r="G92" s="95" t="s">
        <v>40</v>
      </c>
      <c r="H92" s="259"/>
      <c r="I92" s="260"/>
      <c r="J92" s="102">
        <v>26</v>
      </c>
      <c r="K92" s="103">
        <f t="shared" si="8"/>
        <v>27.3</v>
      </c>
      <c r="L92" s="103" t="str">
        <f t="shared" si="9"/>
        <v>-</v>
      </c>
      <c r="M92" s="215"/>
    </row>
    <row r="93" spans="1:42" ht="24.95" customHeight="1">
      <c r="A93" s="272"/>
      <c r="B93" s="284"/>
      <c r="C93" s="274"/>
      <c r="D93" s="259"/>
      <c r="E93" s="95" t="s">
        <v>107</v>
      </c>
      <c r="F93" s="95" t="s">
        <v>79</v>
      </c>
      <c r="G93" s="95" t="s">
        <v>40</v>
      </c>
      <c r="H93" s="259"/>
      <c r="I93" s="260"/>
      <c r="J93" s="102">
        <v>27</v>
      </c>
      <c r="K93" s="103">
        <f t="shared" si="8"/>
        <v>28.35</v>
      </c>
      <c r="L93" s="103" t="str">
        <f t="shared" si="9"/>
        <v>-</v>
      </c>
      <c r="M93" s="215"/>
    </row>
    <row r="94" spans="1:42" s="51" customFormat="1" ht="24.95" customHeight="1">
      <c r="A94" s="116">
        <v>81</v>
      </c>
      <c r="B94" s="117" t="s">
        <v>53</v>
      </c>
      <c r="C94" s="118">
        <v>9400</v>
      </c>
      <c r="D94" s="119" t="s">
        <v>214</v>
      </c>
      <c r="E94" s="119" t="s">
        <v>107</v>
      </c>
      <c r="F94" s="119" t="s">
        <v>147</v>
      </c>
      <c r="G94" s="119" t="s">
        <v>40</v>
      </c>
      <c r="H94" s="119">
        <v>25</v>
      </c>
      <c r="I94" s="120">
        <v>1</v>
      </c>
      <c r="J94" s="121">
        <v>19.95</v>
      </c>
      <c r="K94" s="122">
        <f t="shared" si="8"/>
        <v>20.948</v>
      </c>
      <c r="L94" s="122" t="str">
        <f t="shared" si="9"/>
        <v>-</v>
      </c>
      <c r="M94" s="215"/>
      <c r="N94"/>
      <c r="O94"/>
      <c r="P94"/>
    </row>
    <row r="95" spans="1:42" s="51" customFormat="1" ht="24.95" customHeight="1">
      <c r="A95" s="272">
        <v>83</v>
      </c>
      <c r="B95" s="284" t="s">
        <v>53</v>
      </c>
      <c r="C95" s="274">
        <v>9404</v>
      </c>
      <c r="D95" s="259" t="s">
        <v>215</v>
      </c>
      <c r="E95" s="95" t="s">
        <v>107</v>
      </c>
      <c r="F95" s="95" t="s">
        <v>62</v>
      </c>
      <c r="G95" s="95" t="s">
        <v>40</v>
      </c>
      <c r="H95" s="259">
        <v>15</v>
      </c>
      <c r="I95" s="260">
        <v>1</v>
      </c>
      <c r="J95" s="80">
        <v>35.950000000000003</v>
      </c>
      <c r="K95" s="62">
        <f t="shared" ref="K95:K171" si="12">IF(I95=1,(ROUNDUP((J95*0.05+J95),3)),ROUNDUP((J95*0.05+J95),3))</f>
        <v>37.747999999999998</v>
      </c>
      <c r="L95" s="62" t="str">
        <f t="shared" ref="L95:L171" si="13">IF(I95=1,"-",IF(AND(I95="",L93="-"),"-",ROUNDUP((J95*0.2)+J95,3)))</f>
        <v>-</v>
      </c>
      <c r="M95" s="215"/>
      <c r="N95"/>
      <c r="O95"/>
      <c r="P95"/>
    </row>
    <row r="96" spans="1:42" s="51" customFormat="1" ht="24.95" customHeight="1">
      <c r="A96" s="272"/>
      <c r="B96" s="284"/>
      <c r="C96" s="274"/>
      <c r="D96" s="259"/>
      <c r="E96" s="95" t="s">
        <v>107</v>
      </c>
      <c r="F96" s="95" t="s">
        <v>78</v>
      </c>
      <c r="G96" s="95" t="s">
        <v>40</v>
      </c>
      <c r="H96" s="259"/>
      <c r="I96" s="260"/>
      <c r="J96" s="80">
        <v>37.75</v>
      </c>
      <c r="K96" s="62">
        <f t="shared" si="12"/>
        <v>39.637999999999998</v>
      </c>
      <c r="L96" s="62" t="str">
        <f t="shared" si="13"/>
        <v>-</v>
      </c>
      <c r="M96" s="215"/>
      <c r="N96"/>
      <c r="O96"/>
      <c r="P96"/>
    </row>
    <row r="97" spans="1:42" s="51" customFormat="1" ht="24.95" customHeight="1">
      <c r="A97" s="272"/>
      <c r="B97" s="284"/>
      <c r="C97" s="274"/>
      <c r="D97" s="259"/>
      <c r="E97" s="95" t="s">
        <v>107</v>
      </c>
      <c r="F97" s="95" t="s">
        <v>79</v>
      </c>
      <c r="G97" s="95" t="s">
        <v>40</v>
      </c>
      <c r="H97" s="259"/>
      <c r="I97" s="260"/>
      <c r="J97" s="80">
        <v>39</v>
      </c>
      <c r="K97" s="62">
        <f t="shared" si="12"/>
        <v>40.950000000000003</v>
      </c>
      <c r="L97" s="62" t="str">
        <f t="shared" si="13"/>
        <v>-</v>
      </c>
      <c r="M97" s="215"/>
      <c r="N97"/>
      <c r="O97"/>
      <c r="P97"/>
    </row>
    <row r="98" spans="1:42" s="11" customFormat="1" ht="21.75" customHeight="1">
      <c r="A98" s="261" t="s">
        <v>216</v>
      </c>
      <c r="B98" s="261"/>
      <c r="C98" s="261"/>
      <c r="D98" s="261"/>
      <c r="E98" s="261"/>
      <c r="F98" s="261"/>
      <c r="G98" s="261"/>
      <c r="H98" s="261"/>
      <c r="I98" s="261"/>
      <c r="J98" s="261"/>
      <c r="K98" s="261"/>
      <c r="L98" s="261"/>
      <c r="M98" s="215"/>
      <c r="N98" s="58"/>
      <c r="O98"/>
      <c r="P98"/>
      <c r="Q98"/>
      <c r="R98"/>
      <c r="S98"/>
      <c r="T98"/>
      <c r="U98"/>
      <c r="V98"/>
      <c r="W98"/>
      <c r="X98"/>
      <c r="Y98"/>
      <c r="Z98"/>
      <c r="AA98"/>
      <c r="AB98"/>
      <c r="AC98"/>
      <c r="AD98"/>
      <c r="AE98"/>
      <c r="AF98"/>
      <c r="AG98"/>
      <c r="AH98"/>
      <c r="AI98"/>
      <c r="AJ98"/>
      <c r="AK98"/>
      <c r="AL98"/>
      <c r="AM98"/>
      <c r="AN98"/>
      <c r="AO98"/>
      <c r="AP98"/>
    </row>
    <row r="99" spans="1:42" s="11" customFormat="1" ht="21.75" customHeight="1">
      <c r="A99" s="265">
        <v>87</v>
      </c>
      <c r="B99" s="264" t="s">
        <v>164</v>
      </c>
      <c r="C99" s="263">
        <v>9327</v>
      </c>
      <c r="D99" s="262" t="s">
        <v>305</v>
      </c>
      <c r="E99" s="171" t="s">
        <v>39</v>
      </c>
      <c r="F99" s="119" t="s">
        <v>80</v>
      </c>
      <c r="G99" s="119" t="s">
        <v>44</v>
      </c>
      <c r="H99" s="262">
        <v>15</v>
      </c>
      <c r="I99" s="266">
        <v>1</v>
      </c>
      <c r="J99" s="121">
        <v>1.98</v>
      </c>
      <c r="K99" s="122">
        <f t="shared" ref="K99:K108" si="14">IF(I99=1,(ROUNDUP((J99*0.05+J99),3)),ROUNDUP((J99*0.05+J99),3))</f>
        <v>2.0790000000000002</v>
      </c>
      <c r="L99" s="122" t="str">
        <f t="shared" ref="L99:L102" si="15">IF(I99=1,"-",IF(AND(I99="",L91="-"),"-",ROUNDUP((J99*0.2)+J99,3)))</f>
        <v>-</v>
      </c>
      <c r="M99" s="215"/>
      <c r="N99" s="58"/>
      <c r="O99"/>
      <c r="P99"/>
      <c r="Q99"/>
      <c r="R99"/>
      <c r="S99"/>
      <c r="T99"/>
      <c r="U99"/>
      <c r="V99"/>
      <c r="W99"/>
      <c r="X99"/>
      <c r="Y99"/>
      <c r="Z99"/>
      <c r="AA99"/>
      <c r="AB99"/>
      <c r="AC99"/>
      <c r="AD99"/>
      <c r="AE99"/>
      <c r="AF99"/>
      <c r="AG99"/>
      <c r="AH99"/>
      <c r="AI99"/>
      <c r="AJ99"/>
      <c r="AK99"/>
      <c r="AL99"/>
      <c r="AM99"/>
      <c r="AN99"/>
      <c r="AO99"/>
      <c r="AP99"/>
    </row>
    <row r="100" spans="1:42" s="11" customFormat="1" ht="21.75" customHeight="1">
      <c r="A100" s="265"/>
      <c r="B100" s="264"/>
      <c r="C100" s="263"/>
      <c r="D100" s="262"/>
      <c r="E100" s="171" t="s">
        <v>39</v>
      </c>
      <c r="F100" s="119" t="s">
        <v>78</v>
      </c>
      <c r="G100" s="119" t="s">
        <v>44</v>
      </c>
      <c r="H100" s="262"/>
      <c r="I100" s="266"/>
      <c r="J100" s="121">
        <v>2.65</v>
      </c>
      <c r="K100" s="122">
        <f t="shared" si="14"/>
        <v>2.7829999999999999</v>
      </c>
      <c r="L100" s="122" t="str">
        <f t="shared" si="15"/>
        <v>-</v>
      </c>
      <c r="M100" s="215"/>
      <c r="N100" s="58"/>
      <c r="O100"/>
      <c r="P100"/>
      <c r="Q100"/>
      <c r="R100"/>
      <c r="S100"/>
      <c r="T100"/>
      <c r="U100"/>
      <c r="V100"/>
      <c r="W100"/>
      <c r="X100"/>
      <c r="Y100"/>
      <c r="Z100"/>
      <c r="AA100"/>
      <c r="AB100"/>
      <c r="AC100"/>
      <c r="AD100"/>
      <c r="AE100"/>
      <c r="AF100"/>
      <c r="AG100"/>
      <c r="AH100"/>
      <c r="AI100"/>
      <c r="AJ100"/>
      <c r="AK100"/>
      <c r="AL100"/>
      <c r="AM100"/>
      <c r="AN100"/>
      <c r="AO100"/>
      <c r="AP100"/>
    </row>
    <row r="101" spans="1:42" s="11" customFormat="1" ht="21.75" customHeight="1">
      <c r="A101" s="265"/>
      <c r="B101" s="264"/>
      <c r="C101" s="263"/>
      <c r="D101" s="262"/>
      <c r="E101" s="171" t="s">
        <v>39</v>
      </c>
      <c r="F101" s="119" t="s">
        <v>79</v>
      </c>
      <c r="G101" s="119" t="s">
        <v>44</v>
      </c>
      <c r="H101" s="262"/>
      <c r="I101" s="266"/>
      <c r="J101" s="121">
        <v>2.8</v>
      </c>
      <c r="K101" s="122">
        <f t="shared" si="14"/>
        <v>2.94</v>
      </c>
      <c r="L101" s="122" t="str">
        <f t="shared" si="15"/>
        <v>-</v>
      </c>
      <c r="M101" s="215"/>
      <c r="N101" s="58"/>
      <c r="O101"/>
      <c r="P101"/>
      <c r="Q101"/>
      <c r="R101"/>
      <c r="S101"/>
      <c r="T101"/>
      <c r="U101"/>
      <c r="V101"/>
      <c r="W101"/>
      <c r="X101"/>
      <c r="Y101"/>
      <c r="Z101"/>
      <c r="AA101"/>
      <c r="AB101"/>
      <c r="AC101"/>
      <c r="AD101"/>
      <c r="AE101"/>
      <c r="AF101"/>
      <c r="AG101"/>
      <c r="AH101"/>
      <c r="AI101"/>
      <c r="AJ101"/>
      <c r="AK101"/>
      <c r="AL101"/>
      <c r="AM101"/>
      <c r="AN101"/>
      <c r="AO101"/>
      <c r="AP101"/>
    </row>
    <row r="102" spans="1:42" s="11" customFormat="1" ht="21.75" customHeight="1">
      <c r="A102" s="265"/>
      <c r="B102" s="264"/>
      <c r="C102" s="263"/>
      <c r="D102" s="262"/>
      <c r="E102" s="171" t="s">
        <v>39</v>
      </c>
      <c r="F102" s="119" t="s">
        <v>86</v>
      </c>
      <c r="G102" s="119" t="s">
        <v>44</v>
      </c>
      <c r="H102" s="262"/>
      <c r="I102" s="266"/>
      <c r="J102" s="121">
        <v>2.95</v>
      </c>
      <c r="K102" s="122">
        <f t="shared" si="14"/>
        <v>3.0979999999999999</v>
      </c>
      <c r="L102" s="122" t="str">
        <f t="shared" si="15"/>
        <v>-</v>
      </c>
      <c r="M102" s="215"/>
      <c r="N102" s="58"/>
      <c r="O102"/>
      <c r="P102"/>
      <c r="Q102"/>
      <c r="R102"/>
      <c r="S102"/>
      <c r="T102"/>
      <c r="U102"/>
      <c r="V102"/>
      <c r="W102"/>
      <c r="X102"/>
      <c r="Y102"/>
      <c r="Z102"/>
      <c r="AA102"/>
      <c r="AB102"/>
      <c r="AC102"/>
      <c r="AD102"/>
      <c r="AE102"/>
      <c r="AF102"/>
      <c r="AG102"/>
      <c r="AH102"/>
      <c r="AI102"/>
      <c r="AJ102"/>
      <c r="AK102"/>
      <c r="AL102"/>
      <c r="AM102"/>
      <c r="AN102"/>
      <c r="AO102"/>
      <c r="AP102"/>
    </row>
    <row r="103" spans="1:42" s="11" customFormat="1" ht="21.75" customHeight="1">
      <c r="A103" s="265"/>
      <c r="B103" s="264"/>
      <c r="C103" s="263"/>
      <c r="D103" s="262"/>
      <c r="E103" s="171" t="s">
        <v>39</v>
      </c>
      <c r="F103" s="119" t="s">
        <v>80</v>
      </c>
      <c r="G103" s="119" t="s">
        <v>40</v>
      </c>
      <c r="H103" s="262"/>
      <c r="I103" s="266"/>
      <c r="J103" s="121">
        <v>2.4</v>
      </c>
      <c r="K103" s="122">
        <f t="shared" ref="K103:K106" si="16">IF(I103=1,(ROUNDUP((J103*0.05+J103),3)),ROUNDUP((J103*0.05+J103),3))</f>
        <v>2.52</v>
      </c>
      <c r="L103" s="122" t="str">
        <f t="shared" ref="L103:L105" si="17">IF(I103=1,"-",IF(AND(I103="",L95="-"),"-",ROUNDUP((J103*0.2)+J103,3)))</f>
        <v>-</v>
      </c>
      <c r="M103" s="215"/>
      <c r="N103" s="58"/>
      <c r="O103"/>
      <c r="P103"/>
      <c r="Q103"/>
      <c r="R103"/>
      <c r="S103"/>
      <c r="T103"/>
      <c r="U103"/>
      <c r="V103"/>
      <c r="W103"/>
      <c r="X103"/>
      <c r="Y103"/>
      <c r="Z103"/>
      <c r="AA103"/>
      <c r="AB103"/>
      <c r="AC103"/>
      <c r="AD103"/>
      <c r="AE103"/>
      <c r="AF103"/>
      <c r="AG103"/>
      <c r="AH103"/>
      <c r="AI103"/>
      <c r="AJ103"/>
      <c r="AK103"/>
      <c r="AL103"/>
      <c r="AM103"/>
      <c r="AN103"/>
      <c r="AO103"/>
      <c r="AP103"/>
    </row>
    <row r="104" spans="1:42" s="11" customFormat="1" ht="21.75" customHeight="1">
      <c r="A104" s="265"/>
      <c r="B104" s="264"/>
      <c r="C104" s="263"/>
      <c r="D104" s="262"/>
      <c r="E104" s="171" t="s">
        <v>39</v>
      </c>
      <c r="F104" s="119" t="s">
        <v>78</v>
      </c>
      <c r="G104" s="119" t="s">
        <v>40</v>
      </c>
      <c r="H104" s="262"/>
      <c r="I104" s="266"/>
      <c r="J104" s="121">
        <v>3</v>
      </c>
      <c r="K104" s="122">
        <f t="shared" si="16"/>
        <v>3.15</v>
      </c>
      <c r="L104" s="122" t="str">
        <f t="shared" si="17"/>
        <v>-</v>
      </c>
      <c r="M104" s="215"/>
      <c r="N104" s="58"/>
      <c r="O104"/>
      <c r="P104"/>
      <c r="Q104"/>
      <c r="R104"/>
      <c r="S104"/>
      <c r="T104"/>
      <c r="U104"/>
      <c r="V104"/>
      <c r="W104"/>
      <c r="X104"/>
      <c r="Y104"/>
      <c r="Z104"/>
      <c r="AA104"/>
      <c r="AB104"/>
      <c r="AC104"/>
      <c r="AD104"/>
      <c r="AE104"/>
      <c r="AF104"/>
      <c r="AG104"/>
      <c r="AH104"/>
      <c r="AI104"/>
      <c r="AJ104"/>
      <c r="AK104"/>
      <c r="AL104"/>
      <c r="AM104"/>
      <c r="AN104"/>
      <c r="AO104"/>
      <c r="AP104"/>
    </row>
    <row r="105" spans="1:42" s="11" customFormat="1" ht="21.75" customHeight="1">
      <c r="A105" s="265"/>
      <c r="B105" s="264"/>
      <c r="C105" s="263"/>
      <c r="D105" s="262"/>
      <c r="E105" s="171" t="s">
        <v>39</v>
      </c>
      <c r="F105" s="119" t="s">
        <v>79</v>
      </c>
      <c r="G105" s="119" t="s">
        <v>40</v>
      </c>
      <c r="H105" s="262"/>
      <c r="I105" s="266"/>
      <c r="J105" s="121">
        <v>3.15</v>
      </c>
      <c r="K105" s="122">
        <f t="shared" si="16"/>
        <v>3.3079999999999998</v>
      </c>
      <c r="L105" s="122" t="str">
        <f t="shared" si="17"/>
        <v>-</v>
      </c>
      <c r="M105" s="215"/>
      <c r="N105" s="58"/>
      <c r="O105"/>
      <c r="P105"/>
      <c r="Q105"/>
      <c r="R105"/>
      <c r="S105"/>
      <c r="T105"/>
      <c r="U105"/>
      <c r="V105"/>
      <c r="W105"/>
      <c r="X105"/>
      <c r="Y105"/>
      <c r="Z105"/>
      <c r="AA105"/>
      <c r="AB105"/>
      <c r="AC105"/>
      <c r="AD105"/>
      <c r="AE105"/>
      <c r="AF105"/>
      <c r="AG105"/>
      <c r="AH105"/>
      <c r="AI105"/>
      <c r="AJ105"/>
      <c r="AK105"/>
      <c r="AL105"/>
      <c r="AM105"/>
      <c r="AN105"/>
      <c r="AO105"/>
      <c r="AP105"/>
    </row>
    <row r="106" spans="1:42" s="11" customFormat="1" ht="21.75" customHeight="1">
      <c r="A106" s="265"/>
      <c r="B106" s="264"/>
      <c r="C106" s="263"/>
      <c r="D106" s="262"/>
      <c r="E106" s="171" t="s">
        <v>39</v>
      </c>
      <c r="F106" s="119" t="s">
        <v>86</v>
      </c>
      <c r="G106" s="119" t="s">
        <v>40</v>
      </c>
      <c r="H106" s="262"/>
      <c r="I106" s="266"/>
      <c r="J106" s="121">
        <v>3.3</v>
      </c>
      <c r="K106" s="122">
        <f t="shared" si="16"/>
        <v>3.4649999999999999</v>
      </c>
      <c r="L106" s="122" t="str">
        <f>IF(I99=1,"-",IF(AND(I99="",L105="-"),"-",ROUNDUP((J106*0.2)+J106,3)))</f>
        <v>-</v>
      </c>
      <c r="M106" s="215"/>
      <c r="N106" s="58"/>
      <c r="O106"/>
      <c r="P106"/>
      <c r="Q106"/>
      <c r="R106"/>
      <c r="S106"/>
      <c r="T106"/>
      <c r="U106"/>
      <c r="V106"/>
      <c r="W106"/>
      <c r="X106"/>
      <c r="Y106"/>
      <c r="Z106"/>
      <c r="AA106"/>
      <c r="AB106"/>
      <c r="AC106"/>
      <c r="AD106"/>
      <c r="AE106"/>
      <c r="AF106"/>
      <c r="AG106"/>
      <c r="AH106"/>
      <c r="AI106"/>
      <c r="AJ106"/>
      <c r="AK106"/>
      <c r="AL106"/>
      <c r="AM106"/>
      <c r="AN106"/>
      <c r="AO106"/>
      <c r="AP106"/>
    </row>
    <row r="107" spans="1:42" s="11" customFormat="1" ht="21.75" customHeight="1">
      <c r="A107" s="272">
        <v>87</v>
      </c>
      <c r="B107" s="255" t="s">
        <v>164</v>
      </c>
      <c r="C107" s="274">
        <v>8421</v>
      </c>
      <c r="D107" s="259" t="s">
        <v>306</v>
      </c>
      <c r="E107" s="95" t="s">
        <v>107</v>
      </c>
      <c r="F107" s="95" t="s">
        <v>80</v>
      </c>
      <c r="G107" s="95" t="s">
        <v>84</v>
      </c>
      <c r="H107" s="259">
        <v>50</v>
      </c>
      <c r="I107" s="260">
        <v>1</v>
      </c>
      <c r="J107" s="102">
        <v>4.5</v>
      </c>
      <c r="K107" s="103">
        <f t="shared" si="14"/>
        <v>4.7249999999999996</v>
      </c>
      <c r="L107" s="103" t="str">
        <f>IF(I107=1,"-",IF(AND(I107="",L95="-"),"-",ROUNDUP((J107*0.2)+J107,3)))</f>
        <v>-</v>
      </c>
      <c r="M107" s="215"/>
      <c r="N107" s="58"/>
      <c r="O107"/>
      <c r="P107"/>
      <c r="Q107"/>
      <c r="R107"/>
      <c r="S107"/>
      <c r="T107"/>
      <c r="U107"/>
      <c r="V107"/>
      <c r="W107"/>
      <c r="X107"/>
      <c r="Y107"/>
      <c r="Z107"/>
      <c r="AA107"/>
      <c r="AB107"/>
      <c r="AC107"/>
      <c r="AD107"/>
      <c r="AE107"/>
      <c r="AF107"/>
      <c r="AG107"/>
      <c r="AH107"/>
      <c r="AI107"/>
      <c r="AJ107"/>
      <c r="AK107"/>
      <c r="AL107"/>
      <c r="AM107"/>
      <c r="AN107"/>
      <c r="AO107"/>
      <c r="AP107"/>
    </row>
    <row r="108" spans="1:42" s="11" customFormat="1" ht="21.75" customHeight="1">
      <c r="A108" s="272"/>
      <c r="B108" s="255"/>
      <c r="C108" s="274"/>
      <c r="D108" s="259"/>
      <c r="E108" s="95" t="s">
        <v>107</v>
      </c>
      <c r="F108" s="95" t="s">
        <v>78</v>
      </c>
      <c r="G108" s="95" t="s">
        <v>84</v>
      </c>
      <c r="H108" s="259"/>
      <c r="I108" s="260"/>
      <c r="J108" s="102">
        <v>4.75</v>
      </c>
      <c r="K108" s="103">
        <f t="shared" si="14"/>
        <v>4.9880000000000004</v>
      </c>
      <c r="L108" s="103" t="str">
        <f>IF(I108=1,"-",IF(AND(I108="",L96="-"),"-",ROUNDUP((J108*0.2)+J108,3)))</f>
        <v>-</v>
      </c>
      <c r="M108" s="215"/>
      <c r="N108" s="58"/>
      <c r="O108"/>
      <c r="P108"/>
      <c r="Q108"/>
      <c r="R108"/>
      <c r="S108"/>
      <c r="T108"/>
      <c r="U108"/>
      <c r="V108"/>
      <c r="W108"/>
      <c r="X108"/>
      <c r="Y108"/>
      <c r="Z108"/>
      <c r="AA108"/>
      <c r="AB108"/>
      <c r="AC108"/>
      <c r="AD108"/>
      <c r="AE108"/>
      <c r="AF108"/>
      <c r="AG108"/>
      <c r="AH108"/>
      <c r="AI108"/>
      <c r="AJ108"/>
      <c r="AK108"/>
      <c r="AL108"/>
      <c r="AM108"/>
      <c r="AN108"/>
      <c r="AO108"/>
      <c r="AP108"/>
    </row>
    <row r="109" spans="1:42" s="11" customFormat="1" ht="21.75" customHeight="1">
      <c r="A109" s="301">
        <v>88</v>
      </c>
      <c r="B109" s="302" t="s">
        <v>53</v>
      </c>
      <c r="C109" s="303">
        <v>5067</v>
      </c>
      <c r="D109" s="304" t="s">
        <v>218</v>
      </c>
      <c r="E109" s="171" t="s">
        <v>107</v>
      </c>
      <c r="F109" s="171" t="s">
        <v>62</v>
      </c>
      <c r="G109" s="171" t="s">
        <v>84</v>
      </c>
      <c r="H109" s="304">
        <v>20</v>
      </c>
      <c r="I109" s="305">
        <v>1</v>
      </c>
      <c r="J109" s="121">
        <v>10.4</v>
      </c>
      <c r="K109" s="122">
        <f t="shared" si="12"/>
        <v>10.92</v>
      </c>
      <c r="L109" s="122" t="str">
        <f>IF(I109=1,"-",IF(AND(I109="",L98="-"),"-",ROUNDUP((J109*0.2)+J109,3)))</f>
        <v>-</v>
      </c>
      <c r="M109" s="215"/>
      <c r="N109" s="58"/>
      <c r="O109"/>
      <c r="P109"/>
      <c r="Q109"/>
      <c r="R109"/>
      <c r="S109"/>
      <c r="T109"/>
      <c r="U109"/>
      <c r="V109"/>
      <c r="W109"/>
      <c r="X109"/>
      <c r="Y109"/>
      <c r="Z109"/>
      <c r="AA109"/>
      <c r="AB109"/>
      <c r="AC109"/>
      <c r="AD109"/>
      <c r="AE109"/>
      <c r="AF109"/>
      <c r="AG109"/>
      <c r="AH109"/>
      <c r="AI109"/>
      <c r="AJ109"/>
      <c r="AK109"/>
      <c r="AL109"/>
      <c r="AM109"/>
      <c r="AN109"/>
      <c r="AO109"/>
      <c r="AP109"/>
    </row>
    <row r="110" spans="1:42" s="11" customFormat="1" ht="21.75" customHeight="1">
      <c r="A110" s="301"/>
      <c r="B110" s="302"/>
      <c r="C110" s="303"/>
      <c r="D110" s="304"/>
      <c r="E110" s="171" t="s">
        <v>107</v>
      </c>
      <c r="F110" s="174" t="s">
        <v>78</v>
      </c>
      <c r="G110" s="171" t="s">
        <v>84</v>
      </c>
      <c r="H110" s="304"/>
      <c r="I110" s="305"/>
      <c r="J110" s="121">
        <v>10.95</v>
      </c>
      <c r="K110" s="122">
        <f t="shared" si="12"/>
        <v>11.497999999999999</v>
      </c>
      <c r="L110" s="122" t="str">
        <f>IF(I110=1,"-",IF(AND(I110="",L134="-"),"-",ROUNDUP((J110*0.2)+J110,3)))</f>
        <v>-</v>
      </c>
      <c r="M110" s="215"/>
      <c r="N110"/>
      <c r="O110"/>
      <c r="P110"/>
      <c r="Q110"/>
      <c r="R110"/>
      <c r="S110"/>
      <c r="T110"/>
      <c r="U110"/>
      <c r="V110"/>
      <c r="W110"/>
      <c r="X110"/>
      <c r="Y110"/>
      <c r="Z110"/>
      <c r="AA110"/>
      <c r="AB110"/>
      <c r="AC110"/>
      <c r="AD110"/>
      <c r="AE110"/>
      <c r="AF110"/>
      <c r="AG110"/>
      <c r="AH110"/>
      <c r="AI110"/>
      <c r="AJ110"/>
      <c r="AK110"/>
      <c r="AL110"/>
      <c r="AM110"/>
      <c r="AN110"/>
      <c r="AO110"/>
      <c r="AP110"/>
    </row>
    <row r="111" spans="1:42" s="11" customFormat="1" ht="21.75" customHeight="1">
      <c r="A111" s="301"/>
      <c r="B111" s="302"/>
      <c r="C111" s="303"/>
      <c r="D111" s="304"/>
      <c r="E111" s="171" t="s">
        <v>107</v>
      </c>
      <c r="F111" s="174" t="s">
        <v>79</v>
      </c>
      <c r="G111" s="171" t="s">
        <v>84</v>
      </c>
      <c r="H111" s="171"/>
      <c r="I111" s="173"/>
      <c r="J111" s="121">
        <v>11.5</v>
      </c>
      <c r="K111" s="122">
        <f t="shared" si="12"/>
        <v>12.074999999999999</v>
      </c>
      <c r="L111" s="122" t="str">
        <f t="shared" si="13"/>
        <v>-</v>
      </c>
      <c r="M111" s="215"/>
      <c r="N111"/>
      <c r="O111"/>
      <c r="P111"/>
      <c r="Q111"/>
      <c r="R111"/>
      <c r="S111"/>
      <c r="T111"/>
      <c r="U111"/>
      <c r="V111"/>
      <c r="W111"/>
      <c r="X111"/>
      <c r="Y111"/>
      <c r="Z111"/>
      <c r="AA111"/>
      <c r="AB111"/>
      <c r="AC111"/>
      <c r="AD111"/>
      <c r="AE111"/>
      <c r="AF111"/>
      <c r="AG111"/>
      <c r="AH111"/>
      <c r="AI111"/>
      <c r="AJ111"/>
      <c r="AK111"/>
      <c r="AL111"/>
      <c r="AM111"/>
      <c r="AN111"/>
      <c r="AO111"/>
      <c r="AP111"/>
    </row>
    <row r="112" spans="1:42" s="11" customFormat="1" ht="21.75" customHeight="1">
      <c r="A112" s="258">
        <v>88</v>
      </c>
      <c r="B112" s="275" t="s">
        <v>53</v>
      </c>
      <c r="C112" s="257">
        <v>9111</v>
      </c>
      <c r="D112" s="252" t="s">
        <v>219</v>
      </c>
      <c r="E112" s="91" t="s">
        <v>107</v>
      </c>
      <c r="F112" s="91" t="s">
        <v>62</v>
      </c>
      <c r="G112" s="91" t="s">
        <v>84</v>
      </c>
      <c r="H112" s="252">
        <v>50</v>
      </c>
      <c r="I112" s="253">
        <v>1</v>
      </c>
      <c r="J112" s="102">
        <v>7.3</v>
      </c>
      <c r="K112" s="103">
        <f t="shared" si="12"/>
        <v>7.665</v>
      </c>
      <c r="L112" s="103" t="str">
        <f t="shared" si="13"/>
        <v>-</v>
      </c>
      <c r="M112" s="215"/>
      <c r="N112"/>
      <c r="O112"/>
      <c r="P112"/>
      <c r="Q112"/>
      <c r="R112"/>
      <c r="S112"/>
      <c r="T112"/>
      <c r="U112"/>
      <c r="V112"/>
      <c r="W112"/>
      <c r="X112"/>
      <c r="Y112"/>
      <c r="Z112"/>
      <c r="AA112"/>
      <c r="AB112"/>
      <c r="AC112"/>
      <c r="AD112"/>
      <c r="AE112"/>
      <c r="AF112"/>
      <c r="AG112"/>
      <c r="AH112"/>
      <c r="AI112"/>
      <c r="AJ112"/>
      <c r="AK112"/>
      <c r="AL112"/>
      <c r="AM112"/>
      <c r="AN112"/>
      <c r="AO112"/>
      <c r="AP112"/>
    </row>
    <row r="113" spans="1:42" s="11" customFormat="1" ht="21.75" customHeight="1">
      <c r="A113" s="258"/>
      <c r="B113" s="275"/>
      <c r="C113" s="257"/>
      <c r="D113" s="252"/>
      <c r="E113" s="91" t="s">
        <v>107</v>
      </c>
      <c r="F113" s="175" t="s">
        <v>78</v>
      </c>
      <c r="G113" s="91" t="s">
        <v>84</v>
      </c>
      <c r="H113" s="252"/>
      <c r="I113" s="253"/>
      <c r="J113" s="102">
        <v>7.95</v>
      </c>
      <c r="K113" s="103">
        <f t="shared" si="12"/>
        <v>8.347999999999999</v>
      </c>
      <c r="L113" s="103" t="str">
        <f t="shared" si="13"/>
        <v>-</v>
      </c>
      <c r="M113" s="215"/>
      <c r="N113"/>
      <c r="O113"/>
      <c r="P113"/>
      <c r="Q113"/>
      <c r="R113"/>
      <c r="S113"/>
      <c r="T113"/>
      <c r="U113"/>
      <c r="V113"/>
      <c r="W113"/>
      <c r="X113"/>
      <c r="Y113"/>
      <c r="Z113"/>
      <c r="AA113"/>
      <c r="AB113"/>
      <c r="AC113"/>
      <c r="AD113"/>
      <c r="AE113"/>
      <c r="AF113"/>
      <c r="AG113"/>
      <c r="AH113"/>
      <c r="AI113"/>
      <c r="AJ113"/>
      <c r="AK113"/>
      <c r="AL113"/>
      <c r="AM113"/>
      <c r="AN113"/>
      <c r="AO113"/>
      <c r="AP113"/>
    </row>
    <row r="114" spans="1:42" s="11" customFormat="1" ht="21.75" customHeight="1">
      <c r="A114" s="265">
        <v>90</v>
      </c>
      <c r="B114" s="288" t="s">
        <v>53</v>
      </c>
      <c r="C114" s="263">
        <v>6725</v>
      </c>
      <c r="D114" s="262" t="s">
        <v>220</v>
      </c>
      <c r="E114" s="119" t="s">
        <v>107</v>
      </c>
      <c r="F114" s="119" t="s">
        <v>62</v>
      </c>
      <c r="G114" s="119" t="s">
        <v>40</v>
      </c>
      <c r="H114" s="262">
        <v>50</v>
      </c>
      <c r="I114" s="266">
        <v>1</v>
      </c>
      <c r="J114" s="121">
        <v>6.95</v>
      </c>
      <c r="K114" s="122">
        <f t="shared" si="12"/>
        <v>7.298</v>
      </c>
      <c r="L114" s="122" t="str">
        <f t="shared" si="13"/>
        <v>-</v>
      </c>
      <c r="M114" s="215"/>
      <c r="N114"/>
      <c r="O114"/>
      <c r="P114"/>
      <c r="Q114"/>
      <c r="R114"/>
      <c r="S114"/>
      <c r="T114"/>
      <c r="U114"/>
      <c r="V114"/>
      <c r="W114"/>
      <c r="X114"/>
      <c r="Y114"/>
      <c r="Z114"/>
      <c r="AA114"/>
      <c r="AB114"/>
      <c r="AC114"/>
      <c r="AD114"/>
      <c r="AE114"/>
      <c r="AF114"/>
      <c r="AG114"/>
      <c r="AH114"/>
      <c r="AI114"/>
      <c r="AJ114"/>
      <c r="AK114"/>
      <c r="AL114"/>
      <c r="AM114"/>
      <c r="AN114"/>
      <c r="AO114"/>
      <c r="AP114"/>
    </row>
    <row r="115" spans="1:42" s="51" customFormat="1" ht="21.75" customHeight="1">
      <c r="A115" s="265"/>
      <c r="B115" s="288"/>
      <c r="C115" s="263"/>
      <c r="D115" s="262"/>
      <c r="E115" s="119" t="s">
        <v>107</v>
      </c>
      <c r="F115" s="119" t="s">
        <v>78</v>
      </c>
      <c r="G115" s="119" t="s">
        <v>40</v>
      </c>
      <c r="H115" s="262"/>
      <c r="I115" s="266"/>
      <c r="J115" s="121">
        <v>7.3</v>
      </c>
      <c r="K115" s="122">
        <f t="shared" si="12"/>
        <v>7.665</v>
      </c>
      <c r="L115" s="122" t="str">
        <f t="shared" si="13"/>
        <v>-</v>
      </c>
      <c r="M115" s="215"/>
      <c r="N115"/>
      <c r="O115"/>
      <c r="P115"/>
    </row>
    <row r="116" spans="1:42" s="51" customFormat="1" ht="21.75" customHeight="1">
      <c r="A116" s="258">
        <v>91</v>
      </c>
      <c r="B116" s="275" t="s">
        <v>53</v>
      </c>
      <c r="C116" s="257">
        <v>8400</v>
      </c>
      <c r="D116" s="252" t="s">
        <v>221</v>
      </c>
      <c r="E116" s="91" t="s">
        <v>107</v>
      </c>
      <c r="F116" s="91" t="s">
        <v>62</v>
      </c>
      <c r="G116" s="91" t="s">
        <v>40</v>
      </c>
      <c r="H116" s="252">
        <v>50</v>
      </c>
      <c r="I116" s="253">
        <v>1</v>
      </c>
      <c r="J116" s="102">
        <v>9.9499999999999993</v>
      </c>
      <c r="K116" s="103">
        <f t="shared" si="12"/>
        <v>10.447999999999999</v>
      </c>
      <c r="L116" s="103" t="str">
        <f t="shared" si="13"/>
        <v>-</v>
      </c>
      <c r="M116" s="215"/>
      <c r="N116"/>
      <c r="O116"/>
      <c r="P116"/>
    </row>
    <row r="117" spans="1:42" ht="21.75" customHeight="1">
      <c r="A117" s="258"/>
      <c r="B117" s="275"/>
      <c r="C117" s="257"/>
      <c r="D117" s="252"/>
      <c r="E117" s="91" t="s">
        <v>107</v>
      </c>
      <c r="F117" s="91" t="s">
        <v>78</v>
      </c>
      <c r="G117" s="91" t="s">
        <v>40</v>
      </c>
      <c r="H117" s="252"/>
      <c r="I117" s="253"/>
      <c r="J117" s="102">
        <v>10.55</v>
      </c>
      <c r="K117" s="103">
        <f t="shared" si="12"/>
        <v>11.077999999999999</v>
      </c>
      <c r="L117" s="103" t="str">
        <f t="shared" si="13"/>
        <v>-</v>
      </c>
      <c r="M117" s="215"/>
    </row>
    <row r="118" spans="1:42" ht="21.75" customHeight="1">
      <c r="A118" s="116">
        <v>91</v>
      </c>
      <c r="B118" s="117" t="s">
        <v>53</v>
      </c>
      <c r="C118" s="118">
        <v>9005</v>
      </c>
      <c r="D118" s="119" t="s">
        <v>157</v>
      </c>
      <c r="E118" s="119" t="s">
        <v>39</v>
      </c>
      <c r="F118" s="119" t="s">
        <v>156</v>
      </c>
      <c r="G118" s="119" t="s">
        <v>40</v>
      </c>
      <c r="H118" s="119">
        <v>30</v>
      </c>
      <c r="I118" s="120">
        <v>1</v>
      </c>
      <c r="J118" s="121">
        <v>7.5</v>
      </c>
      <c r="K118" s="122">
        <f t="shared" si="12"/>
        <v>7.875</v>
      </c>
      <c r="L118" s="122" t="str">
        <f t="shared" si="13"/>
        <v>-</v>
      </c>
      <c r="M118" s="215"/>
    </row>
    <row r="119" spans="1:42" s="51" customFormat="1" ht="21.75" customHeight="1">
      <c r="A119" s="111">
        <v>91</v>
      </c>
      <c r="B119" s="66" t="s">
        <v>53</v>
      </c>
      <c r="C119" s="112">
        <v>6715</v>
      </c>
      <c r="D119" s="91" t="s">
        <v>222</v>
      </c>
      <c r="E119" s="91" t="s">
        <v>107</v>
      </c>
      <c r="F119" s="91" t="s">
        <v>64</v>
      </c>
      <c r="G119" s="91" t="s">
        <v>40</v>
      </c>
      <c r="H119" s="91">
        <v>50</v>
      </c>
      <c r="I119" s="113">
        <v>1</v>
      </c>
      <c r="J119" s="102">
        <v>7.5</v>
      </c>
      <c r="K119" s="103">
        <f t="shared" si="12"/>
        <v>7.875</v>
      </c>
      <c r="L119" s="103" t="str">
        <f t="shared" si="13"/>
        <v>-</v>
      </c>
      <c r="M119" s="215"/>
      <c r="N119"/>
      <c r="O119"/>
      <c r="P119"/>
    </row>
    <row r="120" spans="1:42" s="51" customFormat="1" ht="21.75" customHeight="1">
      <c r="A120" s="172">
        <v>92</v>
      </c>
      <c r="B120" s="176" t="s">
        <v>164</v>
      </c>
      <c r="C120" s="177">
        <v>6703</v>
      </c>
      <c r="D120" s="171" t="s">
        <v>307</v>
      </c>
      <c r="E120" s="171" t="s">
        <v>107</v>
      </c>
      <c r="F120" s="171" t="s">
        <v>161</v>
      </c>
      <c r="G120" s="171" t="s">
        <v>40</v>
      </c>
      <c r="H120" s="171">
        <v>30</v>
      </c>
      <c r="I120" s="173">
        <v>1</v>
      </c>
      <c r="J120" s="121">
        <v>10.5</v>
      </c>
      <c r="K120" s="122">
        <f t="shared" ref="K120" si="18">IF(I120=1,(ROUNDUP((J120*0.05+J120),3)),ROUNDUP((J120*0.05+J120),3))</f>
        <v>11.025</v>
      </c>
      <c r="L120" s="122" t="str">
        <f t="shared" ref="L120" si="19">IF(I120=1,"-",IF(AND(I120="",L118="-"),"-",ROUNDUP((J120*0.2)+J120,3)))</f>
        <v>-</v>
      </c>
      <c r="M120" s="215"/>
      <c r="N120"/>
      <c r="O120"/>
      <c r="P120"/>
    </row>
    <row r="121" spans="1:42" ht="21.75" customHeight="1">
      <c r="A121" s="111">
        <v>94</v>
      </c>
      <c r="B121" s="66" t="s">
        <v>53</v>
      </c>
      <c r="C121" s="112">
        <v>9102</v>
      </c>
      <c r="D121" s="91" t="s">
        <v>234</v>
      </c>
      <c r="E121" s="91" t="s">
        <v>39</v>
      </c>
      <c r="F121" s="91" t="s">
        <v>147</v>
      </c>
      <c r="G121" s="91" t="s">
        <v>44</v>
      </c>
      <c r="H121" s="91">
        <v>25</v>
      </c>
      <c r="I121" s="113">
        <v>1</v>
      </c>
      <c r="J121" s="102">
        <v>6.95</v>
      </c>
      <c r="K121" s="103">
        <f t="shared" ref="K121:K132" si="20">IF(I121=1,(ROUNDUP((J121*0.05+J121),3)),ROUNDUP((J121*0.05+J121),3))</f>
        <v>7.298</v>
      </c>
      <c r="L121" s="103" t="str">
        <f>IF(I121=1,"-",IF(AND(I121="",L127="-"),"-",ROUNDUP((J121*0.2)+J121,3)))</f>
        <v>-</v>
      </c>
      <c r="M121" s="215"/>
    </row>
    <row r="122" spans="1:42" ht="24.95" customHeight="1">
      <c r="A122" s="116">
        <v>94</v>
      </c>
      <c r="B122" s="117" t="s">
        <v>53</v>
      </c>
      <c r="C122" s="118">
        <v>9109</v>
      </c>
      <c r="D122" s="119" t="s">
        <v>160</v>
      </c>
      <c r="E122" s="119" t="s">
        <v>107</v>
      </c>
      <c r="F122" s="119" t="s">
        <v>161</v>
      </c>
      <c r="G122" s="119" t="s">
        <v>40</v>
      </c>
      <c r="H122" s="119">
        <v>25</v>
      </c>
      <c r="I122" s="120">
        <v>1</v>
      </c>
      <c r="J122" s="121">
        <v>11.95</v>
      </c>
      <c r="K122" s="122">
        <f t="shared" si="20"/>
        <v>12.548</v>
      </c>
      <c r="L122" s="122" t="str">
        <f>IF(I122=1,"-",IF(AND(I122="",L204="-"),"-",ROUNDUP((J122*0.2)+J122,3)))</f>
        <v>-</v>
      </c>
      <c r="M122" s="215"/>
    </row>
    <row r="123" spans="1:42" ht="21.75" customHeight="1">
      <c r="A123" s="111">
        <v>95</v>
      </c>
      <c r="B123" s="66" t="s">
        <v>53</v>
      </c>
      <c r="C123" s="112">
        <v>9200</v>
      </c>
      <c r="D123" s="91" t="s">
        <v>227</v>
      </c>
      <c r="E123" s="91" t="s">
        <v>39</v>
      </c>
      <c r="F123" s="91" t="s">
        <v>147</v>
      </c>
      <c r="G123" s="91" t="s">
        <v>40</v>
      </c>
      <c r="H123" s="91">
        <v>25</v>
      </c>
      <c r="I123" s="113">
        <v>1</v>
      </c>
      <c r="J123" s="102">
        <v>5.95</v>
      </c>
      <c r="K123" s="103">
        <f t="shared" si="20"/>
        <v>6.2480000000000002</v>
      </c>
      <c r="L123" s="103" t="str">
        <f>IF(I123=1,"-",IF(AND(I123="",L124="-"),"-",ROUNDUP((J123*0.2)+J123,3)))</f>
        <v>-</v>
      </c>
      <c r="M123" s="215"/>
    </row>
    <row r="124" spans="1:42" ht="21.75" customHeight="1">
      <c r="A124" s="116">
        <v>97</v>
      </c>
      <c r="B124" s="117" t="s">
        <v>53</v>
      </c>
      <c r="C124" s="118">
        <v>9100</v>
      </c>
      <c r="D124" s="119" t="s">
        <v>225</v>
      </c>
      <c r="E124" s="119" t="s">
        <v>39</v>
      </c>
      <c r="F124" s="119" t="s">
        <v>147</v>
      </c>
      <c r="G124" s="119" t="s">
        <v>40</v>
      </c>
      <c r="H124" s="119">
        <v>25</v>
      </c>
      <c r="I124" s="120">
        <v>1</v>
      </c>
      <c r="J124" s="121">
        <v>6.95</v>
      </c>
      <c r="K124" s="122">
        <f t="shared" si="20"/>
        <v>7.298</v>
      </c>
      <c r="L124" s="122" t="str">
        <f>IF(I124=1,"-",IF(AND(I124="",L133="-"),"-",ROUNDUP((J124*0.2)+J124,3)))</f>
        <v>-</v>
      </c>
      <c r="M124" s="215"/>
    </row>
    <row r="125" spans="1:42" ht="21.75" customHeight="1">
      <c r="A125" s="111">
        <v>97</v>
      </c>
      <c r="B125" s="66" t="s">
        <v>53</v>
      </c>
      <c r="C125" s="112">
        <v>9118</v>
      </c>
      <c r="D125" s="91" t="s">
        <v>226</v>
      </c>
      <c r="E125" s="91" t="s">
        <v>41</v>
      </c>
      <c r="F125" s="91" t="s">
        <v>155</v>
      </c>
      <c r="G125" s="91" t="s">
        <v>40</v>
      </c>
      <c r="H125" s="91">
        <v>25</v>
      </c>
      <c r="I125" s="113">
        <v>1</v>
      </c>
      <c r="J125" s="102">
        <v>6.95</v>
      </c>
      <c r="K125" s="103">
        <f t="shared" si="20"/>
        <v>7.298</v>
      </c>
      <c r="L125" s="103" t="str">
        <f>IF(I125=1,"-",IF(AND(I125="",L130="-"),"-",ROUNDUP((J125*0.2)+J125,3)))</f>
        <v>-</v>
      </c>
      <c r="M125" s="215"/>
    </row>
    <row r="126" spans="1:42" s="11" customFormat="1" ht="21.75" customHeight="1">
      <c r="A126" s="116">
        <v>98</v>
      </c>
      <c r="B126" s="117" t="s">
        <v>53</v>
      </c>
      <c r="C126" s="118">
        <v>5096</v>
      </c>
      <c r="D126" s="119" t="s">
        <v>231</v>
      </c>
      <c r="E126" s="119" t="s">
        <v>107</v>
      </c>
      <c r="F126" s="119" t="s">
        <v>161</v>
      </c>
      <c r="G126" s="119" t="s">
        <v>40</v>
      </c>
      <c r="H126" s="119">
        <v>25</v>
      </c>
      <c r="I126" s="120">
        <v>1</v>
      </c>
      <c r="J126" s="121">
        <v>8.9499999999999993</v>
      </c>
      <c r="K126" s="122">
        <f t="shared" si="20"/>
        <v>9.3979999999999997</v>
      </c>
      <c r="L126" s="122" t="str">
        <f>IF(I126=1,"-",IF(AND(I126="",L128="-"),"-",ROUNDUP((J126*0.2)+J126,3)))</f>
        <v>-</v>
      </c>
      <c r="M126" s="215"/>
      <c r="N126"/>
      <c r="O126"/>
      <c r="P126"/>
      <c r="Q126"/>
      <c r="R126"/>
      <c r="S126"/>
      <c r="T126"/>
      <c r="U126"/>
      <c r="V126"/>
      <c r="W126"/>
      <c r="X126"/>
      <c r="Y126"/>
      <c r="Z126"/>
      <c r="AA126"/>
      <c r="AB126"/>
      <c r="AC126"/>
      <c r="AD126"/>
      <c r="AE126"/>
      <c r="AF126"/>
      <c r="AG126"/>
      <c r="AH126"/>
      <c r="AI126"/>
      <c r="AJ126"/>
      <c r="AK126"/>
      <c r="AL126"/>
      <c r="AM126"/>
      <c r="AN126"/>
      <c r="AO126"/>
      <c r="AP126"/>
    </row>
    <row r="127" spans="1:42" s="11" customFormat="1" ht="21.75" customHeight="1">
      <c r="A127" s="111">
        <v>98</v>
      </c>
      <c r="B127" s="66" t="s">
        <v>53</v>
      </c>
      <c r="C127" s="112">
        <v>9108</v>
      </c>
      <c r="D127" s="91" t="s">
        <v>232</v>
      </c>
      <c r="E127" s="91" t="s">
        <v>39</v>
      </c>
      <c r="F127" s="91" t="s">
        <v>147</v>
      </c>
      <c r="G127" s="91" t="s">
        <v>40</v>
      </c>
      <c r="H127" s="91">
        <v>25</v>
      </c>
      <c r="I127" s="113">
        <v>1</v>
      </c>
      <c r="J127" s="102">
        <v>8.75</v>
      </c>
      <c r="K127" s="103">
        <f t="shared" si="20"/>
        <v>9.1879999999999988</v>
      </c>
      <c r="L127" s="103" t="str">
        <f>IF(I127=1,"-",IF(AND(I127="",L129="-"),"-",ROUNDUP((J127*0.2)+J127,3)))</f>
        <v>-</v>
      </c>
      <c r="M127" s="215"/>
      <c r="N127"/>
      <c r="O127"/>
      <c r="P127"/>
      <c r="Q127"/>
      <c r="R127"/>
      <c r="S127"/>
      <c r="T127"/>
      <c r="U127"/>
      <c r="V127"/>
      <c r="W127"/>
      <c r="X127"/>
      <c r="Y127"/>
      <c r="Z127"/>
      <c r="AA127"/>
      <c r="AB127"/>
      <c r="AC127"/>
      <c r="AD127"/>
      <c r="AE127"/>
      <c r="AF127"/>
      <c r="AG127"/>
      <c r="AH127"/>
      <c r="AI127"/>
      <c r="AJ127"/>
      <c r="AK127"/>
      <c r="AL127"/>
      <c r="AM127"/>
      <c r="AN127"/>
      <c r="AO127"/>
      <c r="AP127"/>
    </row>
    <row r="128" spans="1:42" ht="21.75" customHeight="1">
      <c r="A128" s="116">
        <v>101</v>
      </c>
      <c r="B128" s="117" t="s">
        <v>53</v>
      </c>
      <c r="C128" s="118">
        <v>8407</v>
      </c>
      <c r="D128" s="119" t="s">
        <v>228</v>
      </c>
      <c r="E128" s="119" t="s">
        <v>39</v>
      </c>
      <c r="F128" s="119" t="s">
        <v>229</v>
      </c>
      <c r="G128" s="119" t="s">
        <v>40</v>
      </c>
      <c r="H128" s="119">
        <v>25</v>
      </c>
      <c r="I128" s="120">
        <v>1</v>
      </c>
      <c r="J128" s="121">
        <v>10.5</v>
      </c>
      <c r="K128" s="122">
        <f t="shared" si="20"/>
        <v>11.025</v>
      </c>
      <c r="L128" s="122" t="str">
        <f>IF(I128=1,"-",IF(AND(I128="",L125="-"),"-",ROUNDUP((J128*0.2)+J128,3)))</f>
        <v>-</v>
      </c>
      <c r="M128" s="215"/>
    </row>
    <row r="129" spans="1:42" ht="21.75" customHeight="1">
      <c r="A129" s="111">
        <v>101</v>
      </c>
      <c r="B129" s="66" t="s">
        <v>53</v>
      </c>
      <c r="C129" s="112">
        <v>9205</v>
      </c>
      <c r="D129" s="91" t="s">
        <v>230</v>
      </c>
      <c r="E129" s="91" t="s">
        <v>39</v>
      </c>
      <c r="F129" s="91" t="s">
        <v>147</v>
      </c>
      <c r="G129" s="91" t="s">
        <v>40</v>
      </c>
      <c r="H129" s="91">
        <v>25</v>
      </c>
      <c r="I129" s="113">
        <v>1</v>
      </c>
      <c r="J129" s="102">
        <v>10.5</v>
      </c>
      <c r="K129" s="103">
        <f t="shared" si="20"/>
        <v>11.025</v>
      </c>
      <c r="L129" s="103" t="str">
        <f>IF(I129=1,"-",IF(AND(I129="",L123="-"),"-",ROUNDUP((J129*0.2)+J129,3)))</f>
        <v>-</v>
      </c>
      <c r="M129" s="215"/>
    </row>
    <row r="130" spans="1:42" ht="21.75" customHeight="1">
      <c r="A130" s="116">
        <v>103</v>
      </c>
      <c r="B130" s="117" t="s">
        <v>53</v>
      </c>
      <c r="C130" s="118">
        <v>9207</v>
      </c>
      <c r="D130" s="119" t="s">
        <v>224</v>
      </c>
      <c r="E130" s="119" t="s">
        <v>107</v>
      </c>
      <c r="F130" s="119" t="s">
        <v>161</v>
      </c>
      <c r="G130" s="119" t="s">
        <v>40</v>
      </c>
      <c r="H130" s="119">
        <v>20</v>
      </c>
      <c r="I130" s="120">
        <v>1</v>
      </c>
      <c r="J130" s="121">
        <v>15.95</v>
      </c>
      <c r="K130" s="122">
        <f t="shared" si="20"/>
        <v>16.748000000000001</v>
      </c>
      <c r="L130" s="122" t="str">
        <f>IF(I130=1,"-",IF(AND(I130="",L119="-"),"-",ROUNDUP((J130*0.2)+J130,3)))</f>
        <v>-</v>
      </c>
      <c r="M130" s="215"/>
    </row>
    <row r="131" spans="1:42" ht="21.75" customHeight="1">
      <c r="A131" s="111">
        <v>104</v>
      </c>
      <c r="B131" s="169" t="s">
        <v>164</v>
      </c>
      <c r="C131" s="112">
        <v>9326</v>
      </c>
      <c r="D131" s="91" t="s">
        <v>308</v>
      </c>
      <c r="E131" s="91" t="s">
        <v>107</v>
      </c>
      <c r="F131" s="91" t="s">
        <v>161</v>
      </c>
      <c r="G131" s="91" t="s">
        <v>40</v>
      </c>
      <c r="H131" s="91">
        <v>20</v>
      </c>
      <c r="I131" s="113">
        <v>1</v>
      </c>
      <c r="J131" s="102">
        <v>12.5</v>
      </c>
      <c r="K131" s="103">
        <f t="shared" si="20"/>
        <v>13.125</v>
      </c>
      <c r="L131" s="103" t="str">
        <f>IF(I131=1,"-",IF(AND(I131="",L120="-"),"-",ROUNDUP((J131*0.2)+J131,3)))</f>
        <v>-</v>
      </c>
      <c r="M131" s="215"/>
    </row>
    <row r="132" spans="1:42" ht="21.75" customHeight="1">
      <c r="A132" s="116">
        <v>106</v>
      </c>
      <c r="B132" s="117" t="s">
        <v>53</v>
      </c>
      <c r="C132" s="118">
        <v>9206</v>
      </c>
      <c r="D132" s="119" t="s">
        <v>233</v>
      </c>
      <c r="E132" s="119" t="s">
        <v>107</v>
      </c>
      <c r="F132" s="119" t="s">
        <v>161</v>
      </c>
      <c r="G132" s="119" t="s">
        <v>40</v>
      </c>
      <c r="H132" s="119">
        <v>25</v>
      </c>
      <c r="I132" s="120">
        <v>1</v>
      </c>
      <c r="J132" s="121">
        <v>10.95</v>
      </c>
      <c r="K132" s="122">
        <f t="shared" si="20"/>
        <v>11.497999999999999</v>
      </c>
      <c r="L132" s="122" t="str">
        <f>IF(I132=1,"-",IF(AND(I132="",L126="-"),"-",ROUNDUP((J132*0.2)+J132,3)))</f>
        <v>-</v>
      </c>
      <c r="M132" s="215"/>
    </row>
    <row r="133" spans="1:42" s="51" customFormat="1" ht="21.75" customHeight="1">
      <c r="A133" s="111">
        <v>107</v>
      </c>
      <c r="B133" s="66" t="s">
        <v>53</v>
      </c>
      <c r="C133" s="112">
        <v>8402</v>
      </c>
      <c r="D133" s="91" t="s">
        <v>223</v>
      </c>
      <c r="E133" s="91" t="s">
        <v>107</v>
      </c>
      <c r="F133" s="91" t="s">
        <v>161</v>
      </c>
      <c r="G133" s="91" t="s">
        <v>40</v>
      </c>
      <c r="H133" s="91">
        <v>20</v>
      </c>
      <c r="I133" s="113">
        <v>1</v>
      </c>
      <c r="J133" s="102">
        <v>12.99</v>
      </c>
      <c r="K133" s="103">
        <f t="shared" si="12"/>
        <v>13.639999999999999</v>
      </c>
      <c r="L133" s="103" t="str">
        <f>IF(I133=1,"-",IF(AND(I133="",L118="-"),"-",ROUNDUP((J133*0.2)+J133,3)))</f>
        <v>-</v>
      </c>
      <c r="M133" s="215"/>
      <c r="N133"/>
      <c r="O133"/>
      <c r="P133"/>
    </row>
    <row r="134" spans="1:42" s="11" customFormat="1" ht="21.75" customHeight="1">
      <c r="A134" s="116">
        <v>109</v>
      </c>
      <c r="B134" s="117" t="s">
        <v>53</v>
      </c>
      <c r="C134" s="118">
        <v>8401</v>
      </c>
      <c r="D134" s="119" t="s">
        <v>217</v>
      </c>
      <c r="E134" s="119" t="s">
        <v>107</v>
      </c>
      <c r="F134" s="119" t="s">
        <v>64</v>
      </c>
      <c r="G134" s="119" t="s">
        <v>40</v>
      </c>
      <c r="H134" s="119">
        <v>20</v>
      </c>
      <c r="I134" s="120">
        <v>1</v>
      </c>
      <c r="J134" s="121">
        <v>12.35</v>
      </c>
      <c r="K134" s="122">
        <f>IF(I134=1,(ROUNDUP((J134*0.05+J134),3)),ROUNDUP((J134*0.05+J134),3))</f>
        <v>12.968</v>
      </c>
      <c r="L134" s="122" t="str">
        <f>IF(I134=1,"-",IF(AND(I134="",L97="-"),"-",ROUNDUP((J134*0.2)+J134,3)))</f>
        <v>-</v>
      </c>
      <c r="M134" s="215"/>
      <c r="N134"/>
      <c r="O134"/>
      <c r="P134"/>
      <c r="Q134"/>
      <c r="R134"/>
      <c r="S134"/>
      <c r="T134"/>
      <c r="U134"/>
      <c r="V134"/>
      <c r="W134"/>
      <c r="X134"/>
      <c r="Y134"/>
      <c r="Z134"/>
      <c r="AA134"/>
      <c r="AB134"/>
      <c r="AC134"/>
      <c r="AD134"/>
      <c r="AE134"/>
      <c r="AF134"/>
      <c r="AG134"/>
      <c r="AH134"/>
      <c r="AI134"/>
      <c r="AJ134"/>
      <c r="AK134"/>
      <c r="AL134"/>
      <c r="AM134"/>
      <c r="AN134"/>
      <c r="AO134"/>
      <c r="AP134"/>
    </row>
    <row r="135" spans="1:42" s="51" customFormat="1" ht="21.75" customHeight="1">
      <c r="A135" s="285" t="s">
        <v>235</v>
      </c>
      <c r="B135" s="285"/>
      <c r="C135" s="285"/>
      <c r="D135" s="285"/>
      <c r="E135" s="285"/>
      <c r="F135" s="285"/>
      <c r="G135" s="285"/>
      <c r="H135" s="285"/>
      <c r="I135" s="285"/>
      <c r="J135" s="285"/>
      <c r="K135" s="285"/>
      <c r="L135" s="285"/>
      <c r="M135" s="215"/>
      <c r="N135"/>
      <c r="O135"/>
      <c r="P135"/>
    </row>
    <row r="136" spans="1:42" s="51" customFormat="1" ht="21.75" customHeight="1">
      <c r="A136" s="111">
        <v>112</v>
      </c>
      <c r="B136" s="66" t="s">
        <v>53</v>
      </c>
      <c r="C136" s="112">
        <v>8411</v>
      </c>
      <c r="D136" s="91" t="s">
        <v>236</v>
      </c>
      <c r="E136" s="91" t="s">
        <v>107</v>
      </c>
      <c r="F136" s="91" t="s">
        <v>64</v>
      </c>
      <c r="G136" s="91" t="s">
        <v>40</v>
      </c>
      <c r="H136" s="91">
        <v>50</v>
      </c>
      <c r="I136" s="113">
        <v>1</v>
      </c>
      <c r="J136" s="102">
        <v>3.95</v>
      </c>
      <c r="K136" s="103">
        <f t="shared" si="12"/>
        <v>4.1480000000000006</v>
      </c>
      <c r="L136" s="103" t="str">
        <f>IF(I136=1,"-",IF(AND(I136="",L121="-"),"-",ROUNDUP((J136*0.2)+J136,3)))</f>
        <v>-</v>
      </c>
      <c r="M136" s="215"/>
      <c r="N136"/>
      <c r="O136"/>
      <c r="P136"/>
    </row>
    <row r="137" spans="1:42" ht="21.75" customHeight="1">
      <c r="A137" s="124">
        <v>112</v>
      </c>
      <c r="B137" s="125" t="s">
        <v>53</v>
      </c>
      <c r="C137" s="126">
        <v>8410</v>
      </c>
      <c r="D137" s="127" t="s">
        <v>237</v>
      </c>
      <c r="E137" s="127" t="s">
        <v>107</v>
      </c>
      <c r="F137" s="127" t="s">
        <v>64</v>
      </c>
      <c r="G137" s="127" t="s">
        <v>40</v>
      </c>
      <c r="H137" s="127">
        <v>50</v>
      </c>
      <c r="I137" s="128">
        <v>1</v>
      </c>
      <c r="J137" s="129">
        <v>5.25</v>
      </c>
      <c r="K137" s="130">
        <f t="shared" si="12"/>
        <v>5.5129999999999999</v>
      </c>
      <c r="L137" s="130" t="str">
        <f t="shared" si="13"/>
        <v>-</v>
      </c>
      <c r="M137" s="215"/>
    </row>
    <row r="138" spans="1:42" s="6" customFormat="1" ht="21.75" customHeight="1">
      <c r="A138" s="111">
        <v>115</v>
      </c>
      <c r="B138" s="66" t="s">
        <v>53</v>
      </c>
      <c r="C138" s="112">
        <v>8413</v>
      </c>
      <c r="D138" s="91" t="s">
        <v>238</v>
      </c>
      <c r="E138" s="91" t="s">
        <v>107</v>
      </c>
      <c r="F138" s="91" t="s">
        <v>64</v>
      </c>
      <c r="G138" s="91" t="s">
        <v>40</v>
      </c>
      <c r="H138" s="91">
        <v>25</v>
      </c>
      <c r="I138" s="113">
        <v>1</v>
      </c>
      <c r="J138" s="102">
        <v>9.9499999999999993</v>
      </c>
      <c r="K138" s="103">
        <f t="shared" si="12"/>
        <v>10.447999999999999</v>
      </c>
      <c r="L138" s="103" t="str">
        <f t="shared" si="13"/>
        <v>-</v>
      </c>
      <c r="M138" s="215"/>
      <c r="N138"/>
      <c r="O138"/>
      <c r="P138"/>
    </row>
    <row r="139" spans="1:42" s="6" customFormat="1" ht="21.75" customHeight="1">
      <c r="A139" s="124">
        <v>115</v>
      </c>
      <c r="B139" s="125" t="s">
        <v>53</v>
      </c>
      <c r="C139" s="126">
        <v>8412</v>
      </c>
      <c r="D139" s="127" t="s">
        <v>239</v>
      </c>
      <c r="E139" s="127" t="s">
        <v>107</v>
      </c>
      <c r="F139" s="127" t="s">
        <v>64</v>
      </c>
      <c r="G139" s="127" t="s">
        <v>40</v>
      </c>
      <c r="H139" s="127">
        <v>15</v>
      </c>
      <c r="I139" s="128">
        <v>1</v>
      </c>
      <c r="J139" s="129">
        <v>9.9499999999999993</v>
      </c>
      <c r="K139" s="130">
        <f t="shared" si="12"/>
        <v>10.447999999999999</v>
      </c>
      <c r="L139" s="130" t="str">
        <f t="shared" si="13"/>
        <v>-</v>
      </c>
      <c r="M139" s="215"/>
      <c r="N139"/>
      <c r="O139"/>
      <c r="P139"/>
    </row>
    <row r="140" spans="1:42" ht="21.75" customHeight="1">
      <c r="A140" s="111">
        <v>117</v>
      </c>
      <c r="B140" s="66" t="s">
        <v>53</v>
      </c>
      <c r="C140" s="112">
        <v>8414</v>
      </c>
      <c r="D140" s="91" t="s">
        <v>240</v>
      </c>
      <c r="E140" s="91" t="s">
        <v>107</v>
      </c>
      <c r="F140" s="91" t="s">
        <v>64</v>
      </c>
      <c r="G140" s="91" t="s">
        <v>40</v>
      </c>
      <c r="H140" s="91">
        <v>20</v>
      </c>
      <c r="I140" s="113">
        <v>1</v>
      </c>
      <c r="J140" s="102">
        <v>11.95</v>
      </c>
      <c r="K140" s="103">
        <f t="shared" si="12"/>
        <v>12.548</v>
      </c>
      <c r="L140" s="103" t="str">
        <f t="shared" si="13"/>
        <v>-</v>
      </c>
      <c r="M140" s="215"/>
    </row>
    <row r="141" spans="1:42" ht="21.75" customHeight="1">
      <c r="A141" s="124">
        <v>118</v>
      </c>
      <c r="B141" s="125" t="s">
        <v>53</v>
      </c>
      <c r="C141" s="126">
        <v>8409</v>
      </c>
      <c r="D141" s="127" t="s">
        <v>241</v>
      </c>
      <c r="E141" s="127" t="s">
        <v>107</v>
      </c>
      <c r="F141" s="127" t="s">
        <v>64</v>
      </c>
      <c r="G141" s="127" t="s">
        <v>40</v>
      </c>
      <c r="H141" s="127">
        <v>50</v>
      </c>
      <c r="I141" s="128">
        <v>1</v>
      </c>
      <c r="J141" s="129">
        <v>8.9499999999999993</v>
      </c>
      <c r="K141" s="130">
        <f t="shared" si="12"/>
        <v>9.3979999999999997</v>
      </c>
      <c r="L141" s="130" t="str">
        <f t="shared" si="13"/>
        <v>-</v>
      </c>
      <c r="M141" s="215"/>
    </row>
    <row r="142" spans="1:42" ht="21.75" customHeight="1">
      <c r="A142" s="111">
        <v>118</v>
      </c>
      <c r="B142" s="66" t="s">
        <v>53</v>
      </c>
      <c r="C142" s="112">
        <v>8408</v>
      </c>
      <c r="D142" s="91" t="s">
        <v>242</v>
      </c>
      <c r="E142" s="91" t="s">
        <v>107</v>
      </c>
      <c r="F142" s="91" t="s">
        <v>147</v>
      </c>
      <c r="G142" s="91" t="s">
        <v>40</v>
      </c>
      <c r="H142" s="91">
        <v>25</v>
      </c>
      <c r="I142" s="113">
        <v>1</v>
      </c>
      <c r="J142" s="102">
        <v>10.95</v>
      </c>
      <c r="K142" s="103">
        <f t="shared" si="12"/>
        <v>11.497999999999999</v>
      </c>
      <c r="L142" s="103" t="str">
        <f t="shared" si="13"/>
        <v>-</v>
      </c>
      <c r="M142" s="215"/>
    </row>
    <row r="143" spans="1:42" ht="21.75" customHeight="1">
      <c r="A143" s="286" t="s">
        <v>243</v>
      </c>
      <c r="B143" s="286"/>
      <c r="C143" s="286"/>
      <c r="D143" s="286"/>
      <c r="E143" s="286"/>
      <c r="F143" s="286"/>
      <c r="G143" s="286"/>
      <c r="H143" s="286"/>
      <c r="I143" s="286"/>
      <c r="J143" s="286"/>
      <c r="K143" s="286"/>
      <c r="L143" s="286"/>
      <c r="M143" s="215"/>
    </row>
    <row r="144" spans="1:42" s="51" customFormat="1" ht="21.75" customHeight="1">
      <c r="A144" s="131">
        <v>124</v>
      </c>
      <c r="B144" s="132" t="s">
        <v>53</v>
      </c>
      <c r="C144" s="133">
        <v>9085</v>
      </c>
      <c r="D144" s="134" t="s">
        <v>244</v>
      </c>
      <c r="E144" s="134" t="s">
        <v>39</v>
      </c>
      <c r="F144" s="134" t="s">
        <v>64</v>
      </c>
      <c r="G144" s="134" t="s">
        <v>84</v>
      </c>
      <c r="H144" s="134">
        <v>50</v>
      </c>
      <c r="I144" s="135">
        <v>1</v>
      </c>
      <c r="J144" s="136">
        <v>6.5</v>
      </c>
      <c r="K144" s="137">
        <f t="shared" si="12"/>
        <v>6.8250000000000002</v>
      </c>
      <c r="L144" s="137" t="str">
        <f t="shared" si="13"/>
        <v>-</v>
      </c>
      <c r="M144" s="215"/>
      <c r="N144"/>
      <c r="O144"/>
      <c r="P144"/>
    </row>
    <row r="145" spans="1:42" s="51" customFormat="1" ht="21.75" customHeight="1">
      <c r="A145" s="93">
        <v>124</v>
      </c>
      <c r="B145" s="90" t="s">
        <v>53</v>
      </c>
      <c r="C145" s="94">
        <v>9084</v>
      </c>
      <c r="D145" s="95" t="s">
        <v>245</v>
      </c>
      <c r="E145" s="95" t="s">
        <v>41</v>
      </c>
      <c r="F145" s="95" t="s">
        <v>64</v>
      </c>
      <c r="G145" s="95" t="s">
        <v>84</v>
      </c>
      <c r="H145" s="95">
        <v>50</v>
      </c>
      <c r="I145" s="96">
        <v>1</v>
      </c>
      <c r="J145" s="102">
        <v>6.5</v>
      </c>
      <c r="K145" s="103">
        <f t="shared" si="12"/>
        <v>6.8250000000000002</v>
      </c>
      <c r="L145" s="103" t="str">
        <f t="shared" si="13"/>
        <v>-</v>
      </c>
      <c r="M145" s="215"/>
      <c r="N145"/>
      <c r="O145"/>
      <c r="P145"/>
    </row>
    <row r="146" spans="1:42" s="51" customFormat="1" ht="21.75" customHeight="1">
      <c r="A146" s="131">
        <v>126</v>
      </c>
      <c r="B146" s="132" t="s">
        <v>53</v>
      </c>
      <c r="C146" s="133">
        <v>9086</v>
      </c>
      <c r="D146" s="134" t="s">
        <v>246</v>
      </c>
      <c r="E146" s="134" t="s">
        <v>107</v>
      </c>
      <c r="F146" s="134" t="s">
        <v>64</v>
      </c>
      <c r="G146" s="134" t="s">
        <v>84</v>
      </c>
      <c r="H146" s="134">
        <v>50</v>
      </c>
      <c r="I146" s="135">
        <v>1</v>
      </c>
      <c r="J146" s="136">
        <v>8.5</v>
      </c>
      <c r="K146" s="137">
        <f t="shared" si="12"/>
        <v>8.9250000000000007</v>
      </c>
      <c r="L146" s="137" t="str">
        <f t="shared" si="13"/>
        <v>-</v>
      </c>
      <c r="M146" s="215"/>
      <c r="N146"/>
      <c r="O146"/>
      <c r="P146"/>
    </row>
    <row r="147" spans="1:42" s="51" customFormat="1" ht="21.75" customHeight="1">
      <c r="A147" s="93">
        <v>129</v>
      </c>
      <c r="B147" s="90" t="s">
        <v>53</v>
      </c>
      <c r="C147" s="94">
        <v>9098</v>
      </c>
      <c r="D147" s="95" t="s">
        <v>247</v>
      </c>
      <c r="E147" s="95" t="s">
        <v>107</v>
      </c>
      <c r="F147" s="95" t="s">
        <v>177</v>
      </c>
      <c r="G147" s="95" t="s">
        <v>84</v>
      </c>
      <c r="H147" s="95">
        <v>50</v>
      </c>
      <c r="I147" s="96">
        <v>1</v>
      </c>
      <c r="J147" s="102">
        <v>5.3</v>
      </c>
      <c r="K147" s="103">
        <f t="shared" si="12"/>
        <v>5.5650000000000004</v>
      </c>
      <c r="L147" s="103" t="str">
        <f t="shared" si="13"/>
        <v>-</v>
      </c>
      <c r="M147" s="215"/>
      <c r="N147"/>
      <c r="O147"/>
      <c r="P147"/>
    </row>
    <row r="148" spans="1:42" ht="21.75" customHeight="1">
      <c r="A148" s="131">
        <v>129</v>
      </c>
      <c r="B148" s="132" t="s">
        <v>53</v>
      </c>
      <c r="C148" s="133">
        <v>9097</v>
      </c>
      <c r="D148" s="134" t="s">
        <v>249</v>
      </c>
      <c r="E148" s="134" t="s">
        <v>107</v>
      </c>
      <c r="F148" s="134" t="s">
        <v>177</v>
      </c>
      <c r="G148" s="134" t="s">
        <v>84</v>
      </c>
      <c r="H148" s="134">
        <v>50</v>
      </c>
      <c r="I148" s="135">
        <v>1</v>
      </c>
      <c r="J148" s="136">
        <v>5.3</v>
      </c>
      <c r="K148" s="137">
        <f>IF(I148=1,(ROUNDUP((J148*0.05+J148),3)),ROUNDUP((J148*0.05+J148),3))</f>
        <v>5.5650000000000004</v>
      </c>
      <c r="L148" s="137" t="str">
        <f>IF(I148=1,"-",IF(AND(I148="",L147="-"),"-",ROUNDUP((J148*0.2)+J148,3)))</f>
        <v>-</v>
      </c>
      <c r="M148" s="215"/>
    </row>
    <row r="149" spans="1:42" ht="21.75" customHeight="1">
      <c r="A149" s="93">
        <v>129</v>
      </c>
      <c r="B149" s="90" t="s">
        <v>53</v>
      </c>
      <c r="C149" s="94">
        <v>9087</v>
      </c>
      <c r="D149" s="95" t="s">
        <v>248</v>
      </c>
      <c r="E149" s="95" t="s">
        <v>107</v>
      </c>
      <c r="F149" s="95" t="s">
        <v>80</v>
      </c>
      <c r="G149" s="95" t="s">
        <v>84</v>
      </c>
      <c r="H149" s="95">
        <v>50</v>
      </c>
      <c r="I149" s="96">
        <v>1</v>
      </c>
      <c r="J149" s="102">
        <v>5.75</v>
      </c>
      <c r="K149" s="103">
        <f t="shared" si="12"/>
        <v>6.0380000000000003</v>
      </c>
      <c r="L149" s="103" t="str">
        <f>IF(I149=1,"-",IF(AND(I149="",L146="-"),"-",ROUNDUP((J149*0.2)+J149,3)))</f>
        <v>-</v>
      </c>
      <c r="M149" s="215"/>
    </row>
    <row r="150" spans="1:42" ht="21.75" customHeight="1">
      <c r="A150" s="131">
        <v>130</v>
      </c>
      <c r="B150" s="132" t="s">
        <v>53</v>
      </c>
      <c r="C150" s="133">
        <v>9094</v>
      </c>
      <c r="D150" s="134" t="s">
        <v>250</v>
      </c>
      <c r="E150" s="134" t="s">
        <v>107</v>
      </c>
      <c r="F150" s="134" t="s">
        <v>177</v>
      </c>
      <c r="G150" s="134" t="s">
        <v>44</v>
      </c>
      <c r="H150" s="134">
        <v>50</v>
      </c>
      <c r="I150" s="135">
        <v>1</v>
      </c>
      <c r="J150" s="136">
        <v>7.95</v>
      </c>
      <c r="K150" s="137">
        <f t="shared" si="12"/>
        <v>8.347999999999999</v>
      </c>
      <c r="L150" s="137" t="str">
        <f>IF(I150=1,"-",IF(AND(I150="",L149="-"),"-",ROUNDUP((J150*0.2)+J150,3)))</f>
        <v>-</v>
      </c>
      <c r="M150" s="215"/>
    </row>
    <row r="151" spans="1:42" ht="21.75" customHeight="1">
      <c r="A151" s="93">
        <v>130</v>
      </c>
      <c r="B151" s="90" t="s">
        <v>53</v>
      </c>
      <c r="C151" s="94">
        <v>9093</v>
      </c>
      <c r="D151" s="95" t="s">
        <v>251</v>
      </c>
      <c r="E151" s="95" t="s">
        <v>41</v>
      </c>
      <c r="F151" s="95" t="s">
        <v>62</v>
      </c>
      <c r="G151" s="95" t="s">
        <v>44</v>
      </c>
      <c r="H151" s="95">
        <v>50</v>
      </c>
      <c r="I151" s="96">
        <v>1</v>
      </c>
      <c r="J151" s="102">
        <v>7.95</v>
      </c>
      <c r="K151" s="103">
        <f t="shared" si="12"/>
        <v>8.347999999999999</v>
      </c>
      <c r="L151" s="103" t="str">
        <f>IF(I151=1,"-",IF(AND(I151="",L148="-"),"-",ROUNDUP((J151*0.2)+J151,3)))</f>
        <v>-</v>
      </c>
      <c r="M151" s="215"/>
    </row>
    <row r="152" spans="1:42" s="6" customFormat="1" ht="21.75" customHeight="1">
      <c r="A152" s="131">
        <v>130</v>
      </c>
      <c r="B152" s="132" t="s">
        <v>53</v>
      </c>
      <c r="C152" s="133">
        <v>9082</v>
      </c>
      <c r="D152" s="134" t="s">
        <v>252</v>
      </c>
      <c r="E152" s="134" t="s">
        <v>107</v>
      </c>
      <c r="F152" s="134" t="s">
        <v>253</v>
      </c>
      <c r="G152" s="134" t="s">
        <v>84</v>
      </c>
      <c r="H152" s="134">
        <v>300</v>
      </c>
      <c r="I152" s="135">
        <v>5</v>
      </c>
      <c r="J152" s="136">
        <v>3.5</v>
      </c>
      <c r="K152" s="137">
        <f t="shared" si="12"/>
        <v>3.6749999999999998</v>
      </c>
      <c r="L152" s="137">
        <f t="shared" si="13"/>
        <v>4.2</v>
      </c>
      <c r="M152" s="215"/>
      <c r="N152"/>
      <c r="O152"/>
      <c r="P152"/>
      <c r="Q152"/>
      <c r="R152"/>
      <c r="S152"/>
      <c r="T152"/>
      <c r="U152"/>
      <c r="V152"/>
      <c r="W152"/>
      <c r="X152"/>
      <c r="Y152"/>
      <c r="Z152"/>
      <c r="AA152"/>
      <c r="AB152"/>
      <c r="AC152"/>
      <c r="AD152"/>
      <c r="AE152"/>
      <c r="AF152"/>
      <c r="AG152"/>
      <c r="AH152"/>
      <c r="AI152"/>
      <c r="AJ152"/>
      <c r="AK152"/>
      <c r="AL152"/>
      <c r="AM152"/>
      <c r="AN152"/>
      <c r="AO152"/>
      <c r="AP152"/>
    </row>
    <row r="153" spans="1:42" s="6" customFormat="1" ht="21.75" customHeight="1">
      <c r="A153" s="93">
        <v>132</v>
      </c>
      <c r="B153" s="90" t="s">
        <v>53</v>
      </c>
      <c r="C153" s="94">
        <v>9105</v>
      </c>
      <c r="D153" s="95" t="s">
        <v>254</v>
      </c>
      <c r="E153" s="95" t="s">
        <v>39</v>
      </c>
      <c r="F153" s="95" t="s">
        <v>64</v>
      </c>
      <c r="G153" s="95" t="s">
        <v>84</v>
      </c>
      <c r="H153" s="95">
        <v>50</v>
      </c>
      <c r="I153" s="96">
        <v>1</v>
      </c>
      <c r="J153" s="102">
        <v>12.25</v>
      </c>
      <c r="K153" s="103">
        <f t="shared" si="12"/>
        <v>12.863</v>
      </c>
      <c r="L153" s="103" t="str">
        <f t="shared" si="13"/>
        <v>-</v>
      </c>
      <c r="M153" s="215"/>
      <c r="N153"/>
      <c r="O153"/>
      <c r="P153"/>
      <c r="Q153"/>
      <c r="R153"/>
      <c r="S153"/>
      <c r="T153"/>
      <c r="U153"/>
      <c r="V153"/>
      <c r="W153"/>
      <c r="X153"/>
      <c r="Y153"/>
      <c r="Z153"/>
      <c r="AA153"/>
      <c r="AB153"/>
      <c r="AC153"/>
      <c r="AD153"/>
      <c r="AE153"/>
      <c r="AF153"/>
      <c r="AG153"/>
      <c r="AH153"/>
      <c r="AI153"/>
      <c r="AJ153"/>
      <c r="AK153"/>
      <c r="AL153"/>
      <c r="AM153"/>
      <c r="AN153"/>
      <c r="AO153"/>
      <c r="AP153"/>
    </row>
    <row r="154" spans="1:42" s="6" customFormat="1" ht="21.75" customHeight="1">
      <c r="A154" s="287" t="s">
        <v>255</v>
      </c>
      <c r="B154" s="287"/>
      <c r="C154" s="287"/>
      <c r="D154" s="287"/>
      <c r="E154" s="287"/>
      <c r="F154" s="287"/>
      <c r="G154" s="287"/>
      <c r="H154" s="287"/>
      <c r="I154" s="287"/>
      <c r="J154" s="287"/>
      <c r="K154" s="287"/>
      <c r="L154" s="287"/>
      <c r="M154" s="215"/>
      <c r="N154"/>
      <c r="O154"/>
      <c r="P154"/>
      <c r="Q154"/>
      <c r="R154"/>
      <c r="S154"/>
      <c r="T154"/>
      <c r="U154"/>
      <c r="V154"/>
      <c r="W154"/>
      <c r="X154"/>
      <c r="Y154"/>
      <c r="Z154"/>
      <c r="AA154"/>
      <c r="AB154"/>
      <c r="AC154"/>
      <c r="AD154"/>
      <c r="AE154"/>
      <c r="AF154"/>
      <c r="AG154"/>
      <c r="AH154"/>
      <c r="AI154"/>
      <c r="AJ154"/>
      <c r="AK154"/>
      <c r="AL154"/>
      <c r="AM154"/>
      <c r="AN154"/>
      <c r="AO154"/>
      <c r="AP154"/>
    </row>
    <row r="155" spans="1:42" s="6" customFormat="1" ht="21.75" customHeight="1">
      <c r="A155" s="279">
        <v>138</v>
      </c>
      <c r="B155" s="280" t="s">
        <v>53</v>
      </c>
      <c r="C155" s="281">
        <v>8403</v>
      </c>
      <c r="D155" s="282" t="s">
        <v>256</v>
      </c>
      <c r="E155" s="141" t="s">
        <v>107</v>
      </c>
      <c r="F155" s="141" t="s">
        <v>62</v>
      </c>
      <c r="G155" s="141" t="s">
        <v>44</v>
      </c>
      <c r="H155" s="282">
        <v>50</v>
      </c>
      <c r="I155" s="283">
        <v>1</v>
      </c>
      <c r="J155" s="145">
        <v>4.4000000000000004</v>
      </c>
      <c r="K155" s="146">
        <f t="shared" si="12"/>
        <v>4.62</v>
      </c>
      <c r="L155" s="146" t="str">
        <f t="shared" si="13"/>
        <v>-</v>
      </c>
      <c r="M155" s="215"/>
      <c r="N155"/>
      <c r="O155"/>
      <c r="P155"/>
      <c r="Q155"/>
      <c r="R155"/>
      <c r="S155"/>
      <c r="T155"/>
      <c r="U155"/>
      <c r="V155"/>
      <c r="W155"/>
      <c r="X155"/>
      <c r="Y155"/>
      <c r="Z155"/>
      <c r="AA155"/>
      <c r="AB155"/>
      <c r="AC155"/>
      <c r="AD155"/>
      <c r="AE155"/>
      <c r="AF155"/>
      <c r="AG155"/>
      <c r="AH155"/>
      <c r="AI155"/>
      <c r="AJ155"/>
      <c r="AK155"/>
      <c r="AL155"/>
      <c r="AM155"/>
      <c r="AN155"/>
      <c r="AO155"/>
      <c r="AP155"/>
    </row>
    <row r="156" spans="1:42" s="6" customFormat="1" ht="21.75" customHeight="1">
      <c r="A156" s="279"/>
      <c r="B156" s="280"/>
      <c r="C156" s="281"/>
      <c r="D156" s="282"/>
      <c r="E156" s="141" t="s">
        <v>107</v>
      </c>
      <c r="F156" s="143" t="s">
        <v>78</v>
      </c>
      <c r="G156" s="141" t="s">
        <v>44</v>
      </c>
      <c r="H156" s="282"/>
      <c r="I156" s="283"/>
      <c r="J156" s="145">
        <v>4.6500000000000004</v>
      </c>
      <c r="K156" s="146">
        <f t="shared" si="12"/>
        <v>4.883</v>
      </c>
      <c r="L156" s="146" t="str">
        <f>IF(I156=1,"-",IF(AND(I156="",L155="-"),"-",ROUNDUP((J156*0.2)+J156,3)))</f>
        <v>-</v>
      </c>
      <c r="M156" s="215"/>
      <c r="N156"/>
      <c r="O156"/>
      <c r="P156"/>
      <c r="Q156"/>
      <c r="R156"/>
      <c r="S156"/>
      <c r="T156"/>
      <c r="U156"/>
      <c r="V156"/>
      <c r="W156"/>
      <c r="X156"/>
      <c r="Y156"/>
      <c r="Z156"/>
      <c r="AA156"/>
      <c r="AB156"/>
      <c r="AC156"/>
      <c r="AD156"/>
      <c r="AE156"/>
      <c r="AF156"/>
      <c r="AG156"/>
      <c r="AH156"/>
      <c r="AI156"/>
      <c r="AJ156"/>
      <c r="AK156"/>
      <c r="AL156"/>
      <c r="AM156"/>
      <c r="AN156"/>
      <c r="AO156"/>
      <c r="AP156"/>
    </row>
    <row r="157" spans="1:42" s="6" customFormat="1" ht="21.75" customHeight="1">
      <c r="A157" s="279"/>
      <c r="B157" s="280"/>
      <c r="C157" s="281"/>
      <c r="D157" s="282"/>
      <c r="E157" s="141" t="s">
        <v>107</v>
      </c>
      <c r="F157" s="143" t="s">
        <v>79</v>
      </c>
      <c r="G157" s="141" t="s">
        <v>44</v>
      </c>
      <c r="H157" s="282"/>
      <c r="I157" s="283"/>
      <c r="J157" s="145">
        <v>4.9000000000000004</v>
      </c>
      <c r="K157" s="146">
        <f t="shared" si="12"/>
        <v>5.1449999999999996</v>
      </c>
      <c r="L157" s="146" t="str">
        <f t="shared" si="13"/>
        <v>-</v>
      </c>
      <c r="M157" s="215"/>
      <c r="N157"/>
      <c r="O157"/>
      <c r="P157"/>
      <c r="Q157"/>
      <c r="R157"/>
      <c r="S157"/>
      <c r="T157"/>
      <c r="U157"/>
      <c r="V157"/>
      <c r="W157"/>
      <c r="X157"/>
      <c r="Y157"/>
      <c r="Z157"/>
      <c r="AA157"/>
      <c r="AB157"/>
      <c r="AC157"/>
      <c r="AD157"/>
      <c r="AE157"/>
      <c r="AF157"/>
      <c r="AG157"/>
      <c r="AH157"/>
      <c r="AI157"/>
      <c r="AJ157"/>
      <c r="AK157"/>
      <c r="AL157"/>
      <c r="AM157"/>
      <c r="AN157"/>
      <c r="AO157"/>
      <c r="AP157"/>
    </row>
    <row r="158" spans="1:42" ht="21.75" customHeight="1">
      <c r="A158" s="279"/>
      <c r="B158" s="280"/>
      <c r="C158" s="281"/>
      <c r="D158" s="282"/>
      <c r="E158" s="141" t="s">
        <v>107</v>
      </c>
      <c r="F158" s="141" t="s">
        <v>62</v>
      </c>
      <c r="G158" s="141" t="s">
        <v>40</v>
      </c>
      <c r="H158" s="282"/>
      <c r="I158" s="283"/>
      <c r="J158" s="145">
        <v>4.95</v>
      </c>
      <c r="K158" s="146">
        <f t="shared" si="12"/>
        <v>5.1980000000000004</v>
      </c>
      <c r="L158" s="146" t="str">
        <f t="shared" si="13"/>
        <v>-</v>
      </c>
      <c r="M158" s="215"/>
    </row>
    <row r="159" spans="1:42" ht="21.75" customHeight="1">
      <c r="A159" s="279"/>
      <c r="B159" s="280"/>
      <c r="C159" s="281"/>
      <c r="D159" s="282"/>
      <c r="E159" s="141" t="s">
        <v>107</v>
      </c>
      <c r="F159" s="143" t="s">
        <v>78</v>
      </c>
      <c r="G159" s="141" t="s">
        <v>40</v>
      </c>
      <c r="H159" s="282"/>
      <c r="I159" s="283"/>
      <c r="J159" s="145">
        <v>5.2</v>
      </c>
      <c r="K159" s="146">
        <f t="shared" si="12"/>
        <v>5.46</v>
      </c>
      <c r="L159" s="146" t="str">
        <f t="shared" si="13"/>
        <v>-</v>
      </c>
      <c r="M159" s="215"/>
    </row>
    <row r="160" spans="1:42" ht="21.75" customHeight="1">
      <c r="A160" s="279"/>
      <c r="B160" s="280"/>
      <c r="C160" s="281"/>
      <c r="D160" s="282"/>
      <c r="E160" s="141" t="s">
        <v>107</v>
      </c>
      <c r="F160" s="143" t="s">
        <v>79</v>
      </c>
      <c r="G160" s="141" t="s">
        <v>40</v>
      </c>
      <c r="H160" s="282"/>
      <c r="I160" s="283"/>
      <c r="J160" s="145">
        <v>5.5</v>
      </c>
      <c r="K160" s="146">
        <f t="shared" si="12"/>
        <v>5.7750000000000004</v>
      </c>
      <c r="L160" s="146" t="str">
        <f t="shared" si="13"/>
        <v>-</v>
      </c>
      <c r="M160" s="215"/>
    </row>
    <row r="161" spans="1:42" s="51" customFormat="1" ht="21.75" customHeight="1">
      <c r="A161" s="272">
        <v>138</v>
      </c>
      <c r="B161" s="284" t="s">
        <v>53</v>
      </c>
      <c r="C161" s="274">
        <v>8404</v>
      </c>
      <c r="D161" s="259" t="s">
        <v>257</v>
      </c>
      <c r="E161" s="95" t="s">
        <v>107</v>
      </c>
      <c r="F161" s="95" t="s">
        <v>62</v>
      </c>
      <c r="G161" s="95" t="s">
        <v>44</v>
      </c>
      <c r="H161" s="259">
        <v>25</v>
      </c>
      <c r="I161" s="260">
        <v>1</v>
      </c>
      <c r="J161" s="102">
        <v>6.2</v>
      </c>
      <c r="K161" s="103">
        <f t="shared" si="12"/>
        <v>6.51</v>
      </c>
      <c r="L161" s="103" t="str">
        <f t="shared" si="13"/>
        <v>-</v>
      </c>
      <c r="M161" s="215"/>
      <c r="N161"/>
      <c r="O161"/>
      <c r="P161"/>
    </row>
    <row r="162" spans="1:42" s="51" customFormat="1" ht="21.75" customHeight="1">
      <c r="A162" s="272"/>
      <c r="B162" s="284"/>
      <c r="C162" s="274"/>
      <c r="D162" s="259"/>
      <c r="E162" s="95" t="s">
        <v>107</v>
      </c>
      <c r="F162" s="123" t="s">
        <v>78</v>
      </c>
      <c r="G162" s="95" t="s">
        <v>44</v>
      </c>
      <c r="H162" s="259"/>
      <c r="I162" s="260"/>
      <c r="J162" s="102">
        <v>6.5</v>
      </c>
      <c r="K162" s="103">
        <f t="shared" si="12"/>
        <v>6.8250000000000002</v>
      </c>
      <c r="L162" s="103" t="str">
        <f t="shared" si="13"/>
        <v>-</v>
      </c>
      <c r="M162" s="215"/>
      <c r="N162"/>
      <c r="O162"/>
      <c r="P162"/>
    </row>
    <row r="163" spans="1:42" s="51" customFormat="1" ht="21.75" customHeight="1">
      <c r="A163" s="272"/>
      <c r="B163" s="284"/>
      <c r="C163" s="274"/>
      <c r="D163" s="259"/>
      <c r="E163" s="95" t="s">
        <v>107</v>
      </c>
      <c r="F163" s="123" t="s">
        <v>79</v>
      </c>
      <c r="G163" s="95" t="s">
        <v>44</v>
      </c>
      <c r="H163" s="259"/>
      <c r="I163" s="260"/>
      <c r="J163" s="102">
        <v>6.85</v>
      </c>
      <c r="K163" s="103">
        <f t="shared" si="12"/>
        <v>7.1930000000000005</v>
      </c>
      <c r="L163" s="103" t="str">
        <f t="shared" si="13"/>
        <v>-</v>
      </c>
      <c r="M163" s="215"/>
      <c r="N163"/>
      <c r="O163"/>
      <c r="P163"/>
    </row>
    <row r="164" spans="1:42" s="6" customFormat="1" ht="21.75" customHeight="1">
      <c r="A164" s="272"/>
      <c r="B164" s="284"/>
      <c r="C164" s="274"/>
      <c r="D164" s="259"/>
      <c r="E164" s="95" t="s">
        <v>107</v>
      </c>
      <c r="F164" s="95" t="s">
        <v>62</v>
      </c>
      <c r="G164" s="95" t="s">
        <v>40</v>
      </c>
      <c r="H164" s="259"/>
      <c r="I164" s="260"/>
      <c r="J164" s="102">
        <v>6.2</v>
      </c>
      <c r="K164" s="103">
        <f t="shared" si="12"/>
        <v>6.51</v>
      </c>
      <c r="L164" s="103" t="str">
        <f t="shared" si="13"/>
        <v>-</v>
      </c>
      <c r="M164" s="215"/>
      <c r="N164"/>
      <c r="O164"/>
      <c r="P164"/>
      <c r="Q164"/>
      <c r="R164"/>
      <c r="S164"/>
      <c r="T164"/>
      <c r="U164"/>
      <c r="V164"/>
      <c r="W164"/>
      <c r="X164"/>
      <c r="Y164"/>
      <c r="Z164"/>
      <c r="AA164"/>
      <c r="AB164"/>
      <c r="AC164"/>
      <c r="AD164"/>
      <c r="AE164"/>
      <c r="AF164"/>
      <c r="AG164"/>
      <c r="AH164"/>
      <c r="AI164"/>
      <c r="AJ164"/>
      <c r="AK164"/>
      <c r="AL164"/>
      <c r="AM164"/>
      <c r="AN164"/>
      <c r="AO164"/>
      <c r="AP164"/>
    </row>
    <row r="165" spans="1:42" s="6" customFormat="1" ht="21.75" customHeight="1">
      <c r="A165" s="272"/>
      <c r="B165" s="284"/>
      <c r="C165" s="274"/>
      <c r="D165" s="259"/>
      <c r="E165" s="95" t="s">
        <v>107</v>
      </c>
      <c r="F165" s="123" t="s">
        <v>78</v>
      </c>
      <c r="G165" s="95" t="s">
        <v>40</v>
      </c>
      <c r="H165" s="259"/>
      <c r="I165" s="260"/>
      <c r="J165" s="102">
        <v>6.5</v>
      </c>
      <c r="K165" s="103">
        <f t="shared" si="12"/>
        <v>6.8250000000000002</v>
      </c>
      <c r="L165" s="103" t="str">
        <f t="shared" si="13"/>
        <v>-</v>
      </c>
      <c r="M165" s="215"/>
      <c r="N165"/>
      <c r="O165"/>
      <c r="P165"/>
      <c r="Q165"/>
      <c r="R165"/>
      <c r="S165"/>
      <c r="T165"/>
      <c r="U165"/>
      <c r="V165"/>
      <c r="W165"/>
      <c r="X165"/>
      <c r="Y165"/>
      <c r="Z165"/>
      <c r="AA165"/>
      <c r="AB165"/>
      <c r="AC165"/>
      <c r="AD165"/>
      <c r="AE165"/>
      <c r="AF165"/>
      <c r="AG165"/>
      <c r="AH165"/>
      <c r="AI165"/>
      <c r="AJ165"/>
      <c r="AK165"/>
      <c r="AL165"/>
      <c r="AM165"/>
      <c r="AN165"/>
      <c r="AO165"/>
      <c r="AP165"/>
    </row>
    <row r="166" spans="1:42" s="6" customFormat="1" ht="21.75" customHeight="1">
      <c r="A166" s="272"/>
      <c r="B166" s="284"/>
      <c r="C166" s="274"/>
      <c r="D166" s="259"/>
      <c r="E166" s="95" t="s">
        <v>107</v>
      </c>
      <c r="F166" s="123" t="s">
        <v>79</v>
      </c>
      <c r="G166" s="95" t="s">
        <v>40</v>
      </c>
      <c r="H166" s="259"/>
      <c r="I166" s="260"/>
      <c r="J166" s="102">
        <v>6.85</v>
      </c>
      <c r="K166" s="103">
        <f t="shared" si="12"/>
        <v>7.1930000000000005</v>
      </c>
      <c r="L166" s="103" t="str">
        <f t="shared" si="13"/>
        <v>-</v>
      </c>
      <c r="M166" s="215"/>
      <c r="N166"/>
      <c r="O166"/>
      <c r="P166"/>
      <c r="Q166"/>
      <c r="R166"/>
      <c r="S166"/>
      <c r="T166"/>
      <c r="U166"/>
      <c r="V166"/>
      <c r="W166"/>
      <c r="X166"/>
      <c r="Y166"/>
      <c r="Z166"/>
      <c r="AA166"/>
      <c r="AB166"/>
      <c r="AC166"/>
      <c r="AD166"/>
      <c r="AE166"/>
      <c r="AF166"/>
      <c r="AG166"/>
      <c r="AH166"/>
      <c r="AI166"/>
      <c r="AJ166"/>
      <c r="AK166"/>
      <c r="AL166"/>
      <c r="AM166"/>
      <c r="AN166"/>
      <c r="AO166"/>
      <c r="AP166"/>
    </row>
    <row r="167" spans="1:42" s="6" customFormat="1" ht="21.75" customHeight="1">
      <c r="A167" s="138">
        <v>141</v>
      </c>
      <c r="B167" s="139" t="s">
        <v>53</v>
      </c>
      <c r="C167" s="140">
        <v>9091</v>
      </c>
      <c r="D167" s="141" t="s">
        <v>258</v>
      </c>
      <c r="E167" s="141" t="s">
        <v>107</v>
      </c>
      <c r="F167" s="141" t="s">
        <v>253</v>
      </c>
      <c r="G167" s="141" t="s">
        <v>84</v>
      </c>
      <c r="H167" s="141">
        <v>50</v>
      </c>
      <c r="I167" s="142">
        <v>1</v>
      </c>
      <c r="J167" s="145">
        <v>4.49</v>
      </c>
      <c r="K167" s="146">
        <f t="shared" si="12"/>
        <v>4.7150000000000007</v>
      </c>
      <c r="L167" s="146" t="str">
        <f t="shared" si="13"/>
        <v>-</v>
      </c>
      <c r="M167" s="215"/>
      <c r="N167"/>
      <c r="O167"/>
      <c r="P167"/>
      <c r="Q167"/>
      <c r="R167"/>
      <c r="S167"/>
      <c r="T167"/>
      <c r="U167"/>
      <c r="V167"/>
      <c r="W167"/>
      <c r="X167"/>
      <c r="Y167"/>
      <c r="Z167"/>
      <c r="AA167"/>
      <c r="AB167"/>
      <c r="AC167"/>
      <c r="AD167"/>
      <c r="AE167"/>
      <c r="AF167"/>
      <c r="AG167"/>
      <c r="AH167"/>
      <c r="AI167"/>
      <c r="AJ167"/>
      <c r="AK167"/>
      <c r="AL167"/>
      <c r="AM167"/>
      <c r="AN167"/>
      <c r="AO167"/>
      <c r="AP167"/>
    </row>
    <row r="168" spans="1:42" ht="21.75" customHeight="1">
      <c r="A168" s="111">
        <v>141</v>
      </c>
      <c r="B168" s="66" t="s">
        <v>53</v>
      </c>
      <c r="C168" s="112">
        <v>9092</v>
      </c>
      <c r="D168" s="91" t="s">
        <v>259</v>
      </c>
      <c r="E168" s="91" t="s">
        <v>39</v>
      </c>
      <c r="F168" s="91" t="s">
        <v>177</v>
      </c>
      <c r="G168" s="91" t="s">
        <v>44</v>
      </c>
      <c r="H168" s="91">
        <v>50</v>
      </c>
      <c r="I168" s="113">
        <v>1</v>
      </c>
      <c r="J168" s="102">
        <v>7.95</v>
      </c>
      <c r="K168" s="103">
        <f t="shared" si="12"/>
        <v>8.347999999999999</v>
      </c>
      <c r="L168" s="103" t="str">
        <f t="shared" si="13"/>
        <v>-</v>
      </c>
      <c r="M168" s="215"/>
    </row>
    <row r="169" spans="1:42" ht="21.75" customHeight="1">
      <c r="A169" s="138">
        <v>142</v>
      </c>
      <c r="B169" s="139" t="s">
        <v>53</v>
      </c>
      <c r="C169" s="140">
        <v>9083</v>
      </c>
      <c r="D169" s="141" t="s">
        <v>260</v>
      </c>
      <c r="E169" s="141" t="s">
        <v>107</v>
      </c>
      <c r="F169" s="141" t="s">
        <v>253</v>
      </c>
      <c r="G169" s="141" t="s">
        <v>84</v>
      </c>
      <c r="H169" s="141">
        <v>200</v>
      </c>
      <c r="I169" s="142">
        <v>10</v>
      </c>
      <c r="J169" s="145">
        <v>1.59</v>
      </c>
      <c r="K169" s="146">
        <f t="shared" si="12"/>
        <v>1.67</v>
      </c>
      <c r="L169" s="146">
        <f t="shared" si="13"/>
        <v>1.9079999999999999</v>
      </c>
      <c r="M169" s="215"/>
    </row>
    <row r="170" spans="1:42" ht="21.75" customHeight="1">
      <c r="A170" s="93">
        <v>142</v>
      </c>
      <c r="B170" s="144" t="s">
        <v>53</v>
      </c>
      <c r="C170" s="94">
        <v>9090</v>
      </c>
      <c r="D170" s="95" t="s">
        <v>261</v>
      </c>
      <c r="E170" s="95" t="s">
        <v>107</v>
      </c>
      <c r="F170" s="95" t="s">
        <v>262</v>
      </c>
      <c r="G170" s="95" t="s">
        <v>44</v>
      </c>
      <c r="H170" s="95">
        <v>300</v>
      </c>
      <c r="I170" s="96">
        <v>10</v>
      </c>
      <c r="J170" s="102">
        <v>1.35</v>
      </c>
      <c r="K170" s="103">
        <f t="shared" si="12"/>
        <v>1.4179999999999999</v>
      </c>
      <c r="L170" s="103">
        <f t="shared" si="13"/>
        <v>1.62</v>
      </c>
      <c r="M170" s="215"/>
    </row>
    <row r="171" spans="1:42" ht="21.75" customHeight="1">
      <c r="A171" s="138">
        <v>144</v>
      </c>
      <c r="B171" s="139" t="s">
        <v>53</v>
      </c>
      <c r="C171" s="140">
        <v>9088</v>
      </c>
      <c r="D171" s="141" t="s">
        <v>263</v>
      </c>
      <c r="E171" s="141" t="s">
        <v>107</v>
      </c>
      <c r="F171" s="141" t="s">
        <v>177</v>
      </c>
      <c r="G171" s="141" t="s">
        <v>44</v>
      </c>
      <c r="H171" s="141">
        <v>50</v>
      </c>
      <c r="I171" s="142">
        <v>1</v>
      </c>
      <c r="J171" s="145">
        <v>7.35</v>
      </c>
      <c r="K171" s="146">
        <f t="shared" si="12"/>
        <v>7.718</v>
      </c>
      <c r="L171" s="146" t="str">
        <f t="shared" si="13"/>
        <v>-</v>
      </c>
      <c r="M171" s="215"/>
    </row>
    <row r="172" spans="1:42" ht="21.75" customHeight="1">
      <c r="A172" s="278" t="s">
        <v>264</v>
      </c>
      <c r="B172" s="278"/>
      <c r="C172" s="278"/>
      <c r="D172" s="278"/>
      <c r="E172" s="278"/>
      <c r="F172" s="278"/>
      <c r="G172" s="278"/>
      <c r="H172" s="278"/>
      <c r="I172" s="278"/>
      <c r="J172" s="278"/>
      <c r="K172" s="278"/>
      <c r="L172" s="278"/>
      <c r="M172" s="215"/>
    </row>
    <row r="173" spans="1:42" ht="21.75" customHeight="1">
      <c r="A173" s="93">
        <v>150</v>
      </c>
      <c r="B173" s="90" t="s">
        <v>53</v>
      </c>
      <c r="C173" s="94">
        <v>4500</v>
      </c>
      <c r="D173" s="95" t="s">
        <v>265</v>
      </c>
      <c r="E173" s="95" t="s">
        <v>39</v>
      </c>
      <c r="F173" s="95" t="s">
        <v>177</v>
      </c>
      <c r="G173" s="95" t="s">
        <v>84</v>
      </c>
      <c r="H173" s="95">
        <v>50</v>
      </c>
      <c r="I173" s="96">
        <v>1</v>
      </c>
      <c r="J173" s="102">
        <v>14.95</v>
      </c>
      <c r="K173" s="103">
        <f t="shared" ref="K173:K201" si="21">IF(I173=1,(ROUNDUP((J173*0.05+J173),3)),ROUNDUP((J173*0.05+J173),3))</f>
        <v>15.697999999999999</v>
      </c>
      <c r="L173" s="103" t="str">
        <f t="shared" ref="L173:L239" si="22">IF(I173=1,"-",IF(AND(I173="",L171="-"),"-",ROUNDUP((J173*0.2)+J173,3)))</f>
        <v>-</v>
      </c>
      <c r="M173" s="215"/>
    </row>
    <row r="174" spans="1:42" ht="21.75" customHeight="1">
      <c r="A174" s="249">
        <v>153</v>
      </c>
      <c r="B174" s="276" t="s">
        <v>53</v>
      </c>
      <c r="C174" s="256">
        <v>5503</v>
      </c>
      <c r="D174" s="250" t="s">
        <v>266</v>
      </c>
      <c r="E174" s="150" t="s">
        <v>39</v>
      </c>
      <c r="F174" s="150" t="s">
        <v>62</v>
      </c>
      <c r="G174" s="150" t="s">
        <v>84</v>
      </c>
      <c r="H174" s="250">
        <v>36</v>
      </c>
      <c r="I174" s="251">
        <v>1</v>
      </c>
      <c r="J174" s="152">
        <v>6.95</v>
      </c>
      <c r="K174" s="153">
        <f t="shared" si="21"/>
        <v>7.298</v>
      </c>
      <c r="L174" s="153" t="str">
        <f t="shared" si="22"/>
        <v>-</v>
      </c>
      <c r="M174" s="215"/>
    </row>
    <row r="175" spans="1:42" ht="21.75" customHeight="1">
      <c r="A175" s="249"/>
      <c r="B175" s="276"/>
      <c r="C175" s="256"/>
      <c r="D175" s="250"/>
      <c r="E175" s="150" t="s">
        <v>39</v>
      </c>
      <c r="F175" s="150" t="s">
        <v>78</v>
      </c>
      <c r="G175" s="150" t="s">
        <v>84</v>
      </c>
      <c r="H175" s="250"/>
      <c r="I175" s="251"/>
      <c r="J175" s="152">
        <v>7.65</v>
      </c>
      <c r="K175" s="153">
        <f t="shared" si="21"/>
        <v>8.0329999999999995</v>
      </c>
      <c r="L175" s="153" t="str">
        <f t="shared" si="22"/>
        <v>-</v>
      </c>
      <c r="M175" s="215"/>
    </row>
    <row r="176" spans="1:42" ht="21.75" customHeight="1">
      <c r="A176" s="258">
        <v>153</v>
      </c>
      <c r="B176" s="275" t="s">
        <v>53</v>
      </c>
      <c r="C176" s="257">
        <v>5061</v>
      </c>
      <c r="D176" s="252" t="s">
        <v>267</v>
      </c>
      <c r="E176" s="91" t="s">
        <v>41</v>
      </c>
      <c r="F176" s="91" t="s">
        <v>62</v>
      </c>
      <c r="G176" s="91" t="s">
        <v>84</v>
      </c>
      <c r="H176" s="252">
        <v>36</v>
      </c>
      <c r="I176" s="253">
        <v>1</v>
      </c>
      <c r="J176" s="102">
        <v>5.95</v>
      </c>
      <c r="K176" s="103">
        <f t="shared" si="21"/>
        <v>6.2480000000000002</v>
      </c>
      <c r="L176" s="103" t="str">
        <f t="shared" si="22"/>
        <v>-</v>
      </c>
      <c r="M176" s="215"/>
    </row>
    <row r="177" spans="1:16" ht="21.75" customHeight="1">
      <c r="A177" s="258"/>
      <c r="B177" s="275"/>
      <c r="C177" s="257"/>
      <c r="D177" s="252"/>
      <c r="E177" s="91" t="s">
        <v>41</v>
      </c>
      <c r="F177" s="91" t="s">
        <v>78</v>
      </c>
      <c r="G177" s="91" t="s">
        <v>84</v>
      </c>
      <c r="H177" s="252"/>
      <c r="I177" s="253"/>
      <c r="J177" s="102">
        <v>6.25</v>
      </c>
      <c r="K177" s="103">
        <f t="shared" si="21"/>
        <v>6.5630000000000006</v>
      </c>
      <c r="L177" s="103" t="str">
        <f t="shared" si="22"/>
        <v>-</v>
      </c>
      <c r="M177" s="215"/>
    </row>
    <row r="178" spans="1:16" ht="26.1" customHeight="1">
      <c r="A178" s="249">
        <v>154</v>
      </c>
      <c r="B178" s="276" t="s">
        <v>53</v>
      </c>
      <c r="C178" s="256">
        <v>5504</v>
      </c>
      <c r="D178" s="250" t="s">
        <v>268</v>
      </c>
      <c r="E178" s="150" t="s">
        <v>39</v>
      </c>
      <c r="F178" s="150" t="s">
        <v>62</v>
      </c>
      <c r="G178" s="150" t="s">
        <v>84</v>
      </c>
      <c r="H178" s="250">
        <v>36</v>
      </c>
      <c r="I178" s="251">
        <v>1</v>
      </c>
      <c r="J178" s="152">
        <v>7.25</v>
      </c>
      <c r="K178" s="153">
        <f t="shared" si="21"/>
        <v>7.6130000000000004</v>
      </c>
      <c r="L178" s="153" t="str">
        <f t="shared" si="22"/>
        <v>-</v>
      </c>
      <c r="M178" s="215"/>
    </row>
    <row r="179" spans="1:16" ht="26.1" customHeight="1">
      <c r="A179" s="249"/>
      <c r="B179" s="276"/>
      <c r="C179" s="256"/>
      <c r="D179" s="250"/>
      <c r="E179" s="150" t="s">
        <v>39</v>
      </c>
      <c r="F179" s="150" t="s">
        <v>78</v>
      </c>
      <c r="G179" s="150" t="s">
        <v>84</v>
      </c>
      <c r="H179" s="250"/>
      <c r="I179" s="251"/>
      <c r="J179" s="152">
        <v>7.65</v>
      </c>
      <c r="K179" s="153">
        <f t="shared" si="21"/>
        <v>8.0329999999999995</v>
      </c>
      <c r="L179" s="153" t="str">
        <f t="shared" si="22"/>
        <v>-</v>
      </c>
      <c r="M179" s="215"/>
    </row>
    <row r="180" spans="1:16" ht="26.1" customHeight="1">
      <c r="A180" s="111">
        <v>154</v>
      </c>
      <c r="B180" s="66" t="s">
        <v>53</v>
      </c>
      <c r="C180" s="112">
        <v>5161</v>
      </c>
      <c r="D180" s="91" t="s">
        <v>269</v>
      </c>
      <c r="E180" s="91" t="s">
        <v>41</v>
      </c>
      <c r="F180" s="91" t="s">
        <v>62</v>
      </c>
      <c r="G180" s="91" t="s">
        <v>84</v>
      </c>
      <c r="H180" s="91">
        <v>36</v>
      </c>
      <c r="I180" s="113">
        <v>1</v>
      </c>
      <c r="J180" s="102">
        <v>7.25</v>
      </c>
      <c r="K180" s="103">
        <f t="shared" si="21"/>
        <v>7.6130000000000004</v>
      </c>
      <c r="L180" s="103" t="str">
        <f t="shared" si="22"/>
        <v>-</v>
      </c>
      <c r="M180" s="215"/>
    </row>
    <row r="181" spans="1:16" ht="26.1" customHeight="1">
      <c r="A181" s="249">
        <v>157</v>
      </c>
      <c r="B181" s="276" t="s">
        <v>53</v>
      </c>
      <c r="C181" s="256">
        <v>5506</v>
      </c>
      <c r="D181" s="250" t="s">
        <v>270</v>
      </c>
      <c r="E181" s="150" t="s">
        <v>39</v>
      </c>
      <c r="F181" s="150" t="s">
        <v>62</v>
      </c>
      <c r="G181" s="150" t="s">
        <v>84</v>
      </c>
      <c r="H181" s="250">
        <v>36</v>
      </c>
      <c r="I181" s="251">
        <v>1</v>
      </c>
      <c r="J181" s="152">
        <v>9.9499999999999993</v>
      </c>
      <c r="K181" s="153">
        <f t="shared" si="21"/>
        <v>10.447999999999999</v>
      </c>
      <c r="L181" s="153" t="str">
        <f>IF(I181=1,"-",IF(AND(I181="",L180="-"),"-",ROUNDUP((J181*0.2)+J181,3)))</f>
        <v>-</v>
      </c>
      <c r="M181" s="215"/>
    </row>
    <row r="182" spans="1:16" ht="26.1" customHeight="1">
      <c r="A182" s="249"/>
      <c r="B182" s="276"/>
      <c r="C182" s="256"/>
      <c r="D182" s="250"/>
      <c r="E182" s="150" t="s">
        <v>39</v>
      </c>
      <c r="F182" s="150" t="s">
        <v>78</v>
      </c>
      <c r="G182" s="150" t="s">
        <v>84</v>
      </c>
      <c r="H182" s="250"/>
      <c r="I182" s="251"/>
      <c r="J182" s="152">
        <v>10.5</v>
      </c>
      <c r="K182" s="153">
        <f t="shared" ref="K182" si="23">IF(I182=1,(ROUNDUP((J182*0.05+J182),3)),ROUNDUP((J182*0.05+J182),3))</f>
        <v>11.025</v>
      </c>
      <c r="L182" s="153" t="str">
        <f>IF(I182=1,"-",IF(AND(I182="",L181="-"),"-",ROUNDUP((J182*0.2)+J182,3)))</f>
        <v>-</v>
      </c>
      <c r="M182" s="215"/>
    </row>
    <row r="183" spans="1:16" ht="26.1" customHeight="1">
      <c r="A183" s="111">
        <v>157</v>
      </c>
      <c r="B183" s="66" t="s">
        <v>53</v>
      </c>
      <c r="C183" s="112">
        <v>5505</v>
      </c>
      <c r="D183" s="91" t="s">
        <v>271</v>
      </c>
      <c r="E183" s="91" t="s">
        <v>41</v>
      </c>
      <c r="F183" s="91" t="s">
        <v>62</v>
      </c>
      <c r="G183" s="91" t="s">
        <v>84</v>
      </c>
      <c r="H183" s="91">
        <v>36</v>
      </c>
      <c r="I183" s="113">
        <v>1</v>
      </c>
      <c r="J183" s="102">
        <v>9.9499999999999993</v>
      </c>
      <c r="K183" s="103">
        <f t="shared" si="21"/>
        <v>10.447999999999999</v>
      </c>
      <c r="L183" s="103" t="str">
        <f>IF(I183=1,"-",IF(AND(I183="",#REF!="-"),"-",ROUNDUP((J183*0.2)+J183,3)))</f>
        <v>-</v>
      </c>
      <c r="M183" s="215"/>
    </row>
    <row r="184" spans="1:16" ht="26.1" customHeight="1">
      <c r="A184" s="249">
        <v>159</v>
      </c>
      <c r="B184" s="276" t="s">
        <v>53</v>
      </c>
      <c r="C184" s="256">
        <v>5507</v>
      </c>
      <c r="D184" s="250" t="s">
        <v>272</v>
      </c>
      <c r="E184" s="150" t="s">
        <v>39</v>
      </c>
      <c r="F184" s="150" t="s">
        <v>62</v>
      </c>
      <c r="G184" s="150" t="s">
        <v>84</v>
      </c>
      <c r="H184" s="250">
        <v>30</v>
      </c>
      <c r="I184" s="251">
        <v>1</v>
      </c>
      <c r="J184" s="152">
        <v>8.9499999999999993</v>
      </c>
      <c r="K184" s="153">
        <f t="shared" si="21"/>
        <v>9.3979999999999997</v>
      </c>
      <c r="L184" s="153" t="str">
        <f>IF(I184=1,"-",IF(AND(I184="",L183="-"),"-",ROUNDUP((J184*0.2)+J184,3)))</f>
        <v>-</v>
      </c>
      <c r="M184" s="215"/>
    </row>
    <row r="185" spans="1:16" s="6" customFormat="1" ht="26.1" customHeight="1">
      <c r="A185" s="249"/>
      <c r="B185" s="276"/>
      <c r="C185" s="256"/>
      <c r="D185" s="250"/>
      <c r="E185" s="150" t="s">
        <v>39</v>
      </c>
      <c r="F185" s="150" t="s">
        <v>78</v>
      </c>
      <c r="G185" s="150" t="s">
        <v>84</v>
      </c>
      <c r="H185" s="250"/>
      <c r="I185" s="251"/>
      <c r="J185" s="152">
        <v>9.5</v>
      </c>
      <c r="K185" s="153">
        <f t="shared" si="21"/>
        <v>9.9749999999999996</v>
      </c>
      <c r="L185" s="153" t="str">
        <f>IF(I184=1,"-",IF(AND(I184="",#REF!="-"),"-",ROUNDUP((J185*0.2)+J185,3)))</f>
        <v>-</v>
      </c>
      <c r="M185" s="215"/>
      <c r="N185"/>
      <c r="O185"/>
      <c r="P185"/>
    </row>
    <row r="186" spans="1:16" s="6" customFormat="1" ht="26.1" customHeight="1">
      <c r="A186" s="258">
        <v>159</v>
      </c>
      <c r="B186" s="275" t="s">
        <v>53</v>
      </c>
      <c r="C186" s="257">
        <v>5068</v>
      </c>
      <c r="D186" s="252" t="s">
        <v>273</v>
      </c>
      <c r="E186" s="91" t="s">
        <v>41</v>
      </c>
      <c r="F186" s="91" t="s">
        <v>62</v>
      </c>
      <c r="G186" s="91" t="s">
        <v>84</v>
      </c>
      <c r="H186" s="252">
        <v>30</v>
      </c>
      <c r="I186" s="253">
        <v>1</v>
      </c>
      <c r="J186" s="154">
        <v>8.9499999999999993</v>
      </c>
      <c r="K186" s="103">
        <f t="shared" si="21"/>
        <v>9.3979999999999997</v>
      </c>
      <c r="L186" s="103" t="str">
        <f t="shared" si="22"/>
        <v>-</v>
      </c>
      <c r="M186" s="215"/>
      <c r="N186"/>
      <c r="O186"/>
      <c r="P186"/>
    </row>
    <row r="187" spans="1:16" s="6" customFormat="1" ht="26.1" customHeight="1">
      <c r="A187" s="258"/>
      <c r="B187" s="275"/>
      <c r="C187" s="257"/>
      <c r="D187" s="252"/>
      <c r="E187" s="91" t="s">
        <v>41</v>
      </c>
      <c r="F187" s="91" t="s">
        <v>78</v>
      </c>
      <c r="G187" s="91" t="s">
        <v>84</v>
      </c>
      <c r="H187" s="252"/>
      <c r="I187" s="253"/>
      <c r="J187" s="154">
        <v>9.5</v>
      </c>
      <c r="K187" s="103">
        <f t="shared" si="21"/>
        <v>9.9749999999999996</v>
      </c>
      <c r="L187" s="103" t="str">
        <f t="shared" si="22"/>
        <v>-</v>
      </c>
      <c r="M187" s="215"/>
      <c r="N187"/>
      <c r="O187"/>
      <c r="P187"/>
    </row>
    <row r="188" spans="1:16" s="6" customFormat="1" ht="26.1" customHeight="1">
      <c r="A188" s="249">
        <v>160</v>
      </c>
      <c r="B188" s="254" t="s">
        <v>164</v>
      </c>
      <c r="C188" s="256">
        <v>6706</v>
      </c>
      <c r="D188" s="250" t="s">
        <v>309</v>
      </c>
      <c r="E188" s="150" t="s">
        <v>39</v>
      </c>
      <c r="F188" s="150" t="s">
        <v>62</v>
      </c>
      <c r="G188" s="150" t="s">
        <v>84</v>
      </c>
      <c r="H188" s="250">
        <v>30</v>
      </c>
      <c r="I188" s="251">
        <v>1</v>
      </c>
      <c r="J188" s="152">
        <v>9.5</v>
      </c>
      <c r="K188" s="153">
        <f t="shared" ref="K188:K191" si="24">IF(I188=1,(ROUNDUP((J188*0.05+J188),3)),ROUNDUP((J188*0.05+J188),3))</f>
        <v>9.9749999999999996</v>
      </c>
      <c r="L188" s="153" t="str">
        <f t="shared" ref="L188:L191" si="25">IF(I188=1,"-",IF(AND(I188="",L186="-"),"-",ROUNDUP((J188*0.2)+J188,3)))</f>
        <v>-</v>
      </c>
      <c r="M188" s="215"/>
      <c r="N188"/>
      <c r="O188"/>
      <c r="P188"/>
    </row>
    <row r="189" spans="1:16" s="6" customFormat="1" ht="26.1" customHeight="1">
      <c r="A189" s="249"/>
      <c r="B189" s="254"/>
      <c r="C189" s="256"/>
      <c r="D189" s="250"/>
      <c r="E189" s="150" t="s">
        <v>39</v>
      </c>
      <c r="F189" s="150" t="s">
        <v>78</v>
      </c>
      <c r="G189" s="150" t="s">
        <v>84</v>
      </c>
      <c r="H189" s="250"/>
      <c r="I189" s="251"/>
      <c r="J189" s="152">
        <v>10</v>
      </c>
      <c r="K189" s="153">
        <f t="shared" si="24"/>
        <v>10.5</v>
      </c>
      <c r="L189" s="153" t="str">
        <f t="shared" si="25"/>
        <v>-</v>
      </c>
      <c r="M189" s="215"/>
      <c r="N189"/>
      <c r="O189"/>
      <c r="P189"/>
    </row>
    <row r="190" spans="1:16" s="6" customFormat="1" ht="26.1" customHeight="1">
      <c r="A190" s="258">
        <v>160</v>
      </c>
      <c r="B190" s="255" t="s">
        <v>164</v>
      </c>
      <c r="C190" s="257">
        <v>6707</v>
      </c>
      <c r="D190" s="252" t="s">
        <v>310</v>
      </c>
      <c r="E190" s="91" t="s">
        <v>41</v>
      </c>
      <c r="F190" s="91" t="s">
        <v>62</v>
      </c>
      <c r="G190" s="91" t="s">
        <v>84</v>
      </c>
      <c r="H190" s="252">
        <v>30</v>
      </c>
      <c r="I190" s="253">
        <v>1</v>
      </c>
      <c r="J190" s="154">
        <v>9.5</v>
      </c>
      <c r="K190" s="103">
        <f t="shared" si="24"/>
        <v>9.9749999999999996</v>
      </c>
      <c r="L190" s="103" t="str">
        <f t="shared" si="25"/>
        <v>-</v>
      </c>
      <c r="M190" s="215"/>
      <c r="N190"/>
      <c r="O190"/>
      <c r="P190"/>
    </row>
    <row r="191" spans="1:16" s="6" customFormat="1" ht="26.1" customHeight="1">
      <c r="A191" s="258"/>
      <c r="B191" s="255"/>
      <c r="C191" s="257"/>
      <c r="D191" s="252"/>
      <c r="E191" s="91" t="s">
        <v>41</v>
      </c>
      <c r="F191" s="91" t="s">
        <v>78</v>
      </c>
      <c r="G191" s="91" t="s">
        <v>84</v>
      </c>
      <c r="H191" s="252"/>
      <c r="I191" s="253"/>
      <c r="J191" s="154">
        <v>10</v>
      </c>
      <c r="K191" s="103">
        <f t="shared" si="24"/>
        <v>10.5</v>
      </c>
      <c r="L191" s="103" t="str">
        <f t="shared" si="25"/>
        <v>-</v>
      </c>
      <c r="M191" s="215"/>
      <c r="N191"/>
      <c r="O191"/>
      <c r="P191"/>
    </row>
    <row r="192" spans="1:16" s="6" customFormat="1" ht="26.1" customHeight="1">
      <c r="A192" s="147">
        <v>162</v>
      </c>
      <c r="B192" s="148" t="s">
        <v>53</v>
      </c>
      <c r="C192" s="149">
        <v>8405</v>
      </c>
      <c r="D192" s="150" t="s">
        <v>274</v>
      </c>
      <c r="E192" s="150" t="s">
        <v>39</v>
      </c>
      <c r="F192" s="150" t="s">
        <v>64</v>
      </c>
      <c r="G192" s="150" t="s">
        <v>84</v>
      </c>
      <c r="H192" s="150">
        <v>25</v>
      </c>
      <c r="I192" s="151">
        <v>1</v>
      </c>
      <c r="J192" s="155">
        <v>10.95</v>
      </c>
      <c r="K192" s="153">
        <f t="shared" si="21"/>
        <v>11.497999999999999</v>
      </c>
      <c r="L192" s="153" t="str">
        <f>IF(I192=1,"-",IF(AND(I192="",L186="-"),"-",ROUNDUP((J192*0.2)+J192,3)))</f>
        <v>-</v>
      </c>
      <c r="M192" s="215"/>
      <c r="N192"/>
      <c r="O192"/>
      <c r="P192"/>
    </row>
    <row r="193" spans="1:16" ht="26.1" customHeight="1">
      <c r="A193" s="111">
        <v>162</v>
      </c>
      <c r="B193" s="66" t="s">
        <v>53</v>
      </c>
      <c r="C193" s="112">
        <v>8406</v>
      </c>
      <c r="D193" s="91" t="s">
        <v>275</v>
      </c>
      <c r="E193" s="91" t="s">
        <v>41</v>
      </c>
      <c r="F193" s="91" t="s">
        <v>64</v>
      </c>
      <c r="G193" s="91" t="s">
        <v>84</v>
      </c>
      <c r="H193" s="91">
        <v>25</v>
      </c>
      <c r="I193" s="113">
        <v>1</v>
      </c>
      <c r="J193" s="154">
        <v>10.95</v>
      </c>
      <c r="K193" s="103">
        <f t="shared" si="21"/>
        <v>11.497999999999999</v>
      </c>
      <c r="L193" s="103" t="str">
        <f>IF(I193=1,"-",IF(AND(I193="",L187="-"),"-",ROUNDUP((J193*0.2)+J193,3)))</f>
        <v>-</v>
      </c>
      <c r="M193" s="215"/>
    </row>
    <row r="194" spans="1:16" ht="26.1" customHeight="1">
      <c r="A194" s="147">
        <v>165</v>
      </c>
      <c r="B194" s="148" t="s">
        <v>53</v>
      </c>
      <c r="C194" s="149">
        <v>8417</v>
      </c>
      <c r="D194" s="150" t="s">
        <v>276</v>
      </c>
      <c r="E194" s="150" t="s">
        <v>39</v>
      </c>
      <c r="F194" s="150" t="s">
        <v>64</v>
      </c>
      <c r="G194" s="150" t="s">
        <v>40</v>
      </c>
      <c r="H194" s="150">
        <v>25</v>
      </c>
      <c r="I194" s="151">
        <v>1</v>
      </c>
      <c r="J194" s="152">
        <v>8.9499999999999993</v>
      </c>
      <c r="K194" s="153">
        <f t="shared" si="21"/>
        <v>9.3979999999999997</v>
      </c>
      <c r="L194" s="153" t="str">
        <f t="shared" si="22"/>
        <v>-</v>
      </c>
      <c r="M194" s="215"/>
    </row>
    <row r="195" spans="1:16" ht="26.1" customHeight="1">
      <c r="A195" s="111">
        <v>165</v>
      </c>
      <c r="B195" s="66" t="s">
        <v>53</v>
      </c>
      <c r="C195" s="112">
        <v>8418</v>
      </c>
      <c r="D195" s="91" t="s">
        <v>277</v>
      </c>
      <c r="E195" s="91" t="s">
        <v>41</v>
      </c>
      <c r="F195" s="91" t="s">
        <v>64</v>
      </c>
      <c r="G195" s="91" t="s">
        <v>40</v>
      </c>
      <c r="H195" s="91">
        <v>25</v>
      </c>
      <c r="I195" s="113">
        <v>1</v>
      </c>
      <c r="J195" s="102">
        <v>8.9499999999999993</v>
      </c>
      <c r="K195" s="103">
        <f t="shared" si="21"/>
        <v>9.3979999999999997</v>
      </c>
      <c r="L195" s="103" t="str">
        <f t="shared" si="22"/>
        <v>-</v>
      </c>
      <c r="M195" s="215"/>
    </row>
    <row r="196" spans="1:16" ht="26.1" customHeight="1">
      <c r="A196" s="249">
        <v>166</v>
      </c>
      <c r="B196" s="254" t="s">
        <v>164</v>
      </c>
      <c r="C196" s="256">
        <v>8420</v>
      </c>
      <c r="D196" s="250" t="s">
        <v>311</v>
      </c>
      <c r="E196" s="150" t="s">
        <v>39</v>
      </c>
      <c r="F196" s="150" t="s">
        <v>80</v>
      </c>
      <c r="G196" s="150" t="s">
        <v>40</v>
      </c>
      <c r="H196" s="250">
        <v>15</v>
      </c>
      <c r="I196" s="251">
        <v>1</v>
      </c>
      <c r="J196" s="152">
        <v>12.9</v>
      </c>
      <c r="K196" s="153">
        <f t="shared" ref="K196" si="26">IF(I196=1,(ROUNDUP((J196*0.05+J196),3)),ROUNDUP((J196*0.05+J196),3))</f>
        <v>13.545</v>
      </c>
      <c r="L196" s="153" t="str">
        <f t="shared" ref="L196" si="27">IF(I196=1,"-",IF(AND(I196="",L194="-"),"-",ROUNDUP((J196*0.2)+J196,3)))</f>
        <v>-</v>
      </c>
      <c r="M196" s="215"/>
    </row>
    <row r="197" spans="1:16" ht="26.1" customHeight="1">
      <c r="A197" s="249"/>
      <c r="B197" s="254"/>
      <c r="C197" s="256"/>
      <c r="D197" s="250"/>
      <c r="E197" s="150" t="s">
        <v>39</v>
      </c>
      <c r="F197" s="150" t="s">
        <v>78</v>
      </c>
      <c r="G197" s="150" t="s">
        <v>40</v>
      </c>
      <c r="H197" s="250"/>
      <c r="I197" s="251"/>
      <c r="J197" s="152">
        <v>13.6</v>
      </c>
      <c r="K197" s="153">
        <f t="shared" ref="K197" si="28">IF(I197=1,(ROUNDUP((J197*0.05+J197),3)),ROUNDUP((J197*0.05+J197),3))</f>
        <v>14.28</v>
      </c>
      <c r="L197" s="153" t="str">
        <f t="shared" ref="L197" si="29">IF(I197=1,"-",IF(AND(I197="",L195="-"),"-",ROUNDUP((J197*0.2)+J197,3)))</f>
        <v>-</v>
      </c>
      <c r="M197" s="215"/>
    </row>
    <row r="198" spans="1:16" ht="26.1" customHeight="1">
      <c r="A198" s="111">
        <v>168</v>
      </c>
      <c r="B198" s="66" t="s">
        <v>53</v>
      </c>
      <c r="C198" s="112">
        <v>8415</v>
      </c>
      <c r="D198" s="91" t="s">
        <v>148</v>
      </c>
      <c r="E198" s="91" t="s">
        <v>39</v>
      </c>
      <c r="F198" s="91" t="s">
        <v>147</v>
      </c>
      <c r="G198" s="91" t="s">
        <v>40</v>
      </c>
      <c r="H198" s="91">
        <v>20</v>
      </c>
      <c r="I198" s="113">
        <v>1</v>
      </c>
      <c r="J198" s="154">
        <v>10.95</v>
      </c>
      <c r="K198" s="103">
        <f t="shared" si="21"/>
        <v>11.497999999999999</v>
      </c>
      <c r="L198" s="103" t="str">
        <f>IF(I198=1,"-",IF(AND(I198="",L194="-"),"-",ROUNDUP((J198*0.2)+J198,3)))</f>
        <v>-</v>
      </c>
      <c r="M198" s="215"/>
    </row>
    <row r="199" spans="1:16" ht="26.1" customHeight="1">
      <c r="A199" s="147">
        <v>168</v>
      </c>
      <c r="B199" s="148" t="s">
        <v>53</v>
      </c>
      <c r="C199" s="149">
        <v>8416</v>
      </c>
      <c r="D199" s="150" t="s">
        <v>149</v>
      </c>
      <c r="E199" s="150" t="s">
        <v>41</v>
      </c>
      <c r="F199" s="150" t="s">
        <v>150</v>
      </c>
      <c r="G199" s="150" t="s">
        <v>40</v>
      </c>
      <c r="H199" s="150">
        <v>20</v>
      </c>
      <c r="I199" s="151">
        <v>1</v>
      </c>
      <c r="J199" s="152">
        <v>10.95</v>
      </c>
      <c r="K199" s="153">
        <f t="shared" si="21"/>
        <v>11.497999999999999</v>
      </c>
      <c r="L199" s="153" t="str">
        <f>IF(I199=1,"-",IF(AND(I199="",L195="-"),"-",ROUNDUP((J199*0.2)+J199,3)))</f>
        <v>-</v>
      </c>
      <c r="M199" s="215"/>
    </row>
    <row r="200" spans="1:16" ht="26.1" customHeight="1">
      <c r="A200" s="111">
        <v>171</v>
      </c>
      <c r="B200" s="66" t="s">
        <v>53</v>
      </c>
      <c r="C200" s="112">
        <v>9145</v>
      </c>
      <c r="D200" s="91" t="s">
        <v>151</v>
      </c>
      <c r="E200" s="91" t="s">
        <v>39</v>
      </c>
      <c r="F200" s="91" t="s">
        <v>147</v>
      </c>
      <c r="G200" s="91" t="s">
        <v>40</v>
      </c>
      <c r="H200" s="91">
        <v>25</v>
      </c>
      <c r="I200" s="113">
        <v>1</v>
      </c>
      <c r="J200" s="154">
        <v>12.95</v>
      </c>
      <c r="K200" s="103">
        <f t="shared" si="21"/>
        <v>13.597999999999999</v>
      </c>
      <c r="L200" s="103" t="str">
        <f t="shared" si="22"/>
        <v>-</v>
      </c>
      <c r="M200" s="215"/>
    </row>
    <row r="201" spans="1:16" ht="26.1" customHeight="1">
      <c r="A201" s="147">
        <v>171</v>
      </c>
      <c r="B201" s="148" t="s">
        <v>53</v>
      </c>
      <c r="C201" s="149">
        <v>9146</v>
      </c>
      <c r="D201" s="150" t="s">
        <v>152</v>
      </c>
      <c r="E201" s="150" t="s">
        <v>41</v>
      </c>
      <c r="F201" s="150" t="s">
        <v>150</v>
      </c>
      <c r="G201" s="150" t="s">
        <v>40</v>
      </c>
      <c r="H201" s="150">
        <v>25</v>
      </c>
      <c r="I201" s="151">
        <v>1</v>
      </c>
      <c r="J201" s="152">
        <v>12.95</v>
      </c>
      <c r="K201" s="153">
        <f t="shared" si="21"/>
        <v>13.597999999999999</v>
      </c>
      <c r="L201" s="153" t="str">
        <f t="shared" si="22"/>
        <v>-</v>
      </c>
      <c r="M201" s="215"/>
    </row>
    <row r="202" spans="1:16" s="51" customFormat="1" ht="21.75" customHeight="1">
      <c r="A202" s="111">
        <v>173</v>
      </c>
      <c r="B202" s="66" t="s">
        <v>53</v>
      </c>
      <c r="C202" s="112">
        <v>9106</v>
      </c>
      <c r="D202" s="91" t="s">
        <v>154</v>
      </c>
      <c r="E202" s="91" t="s">
        <v>39</v>
      </c>
      <c r="F202" s="91" t="s">
        <v>156</v>
      </c>
      <c r="G202" s="91" t="s">
        <v>40</v>
      </c>
      <c r="H202" s="91">
        <v>20</v>
      </c>
      <c r="I202" s="113">
        <v>1</v>
      </c>
      <c r="J202" s="154">
        <v>10.95</v>
      </c>
      <c r="K202" s="103">
        <f t="shared" ref="K202:K232" si="30">IF(I202=1,(ROUNDUP((J202*0.05+J202),3)),ROUNDUP((J202*0.05+J202),3))</f>
        <v>11.497999999999999</v>
      </c>
      <c r="L202" s="103" t="str">
        <f t="shared" si="22"/>
        <v>-</v>
      </c>
      <c r="M202" s="215"/>
      <c r="N202"/>
      <c r="O202"/>
      <c r="P202"/>
    </row>
    <row r="203" spans="1:16" s="51" customFormat="1" ht="21.75" customHeight="1">
      <c r="A203" s="147">
        <v>173</v>
      </c>
      <c r="B203" s="148" t="s">
        <v>53</v>
      </c>
      <c r="C203" s="149">
        <v>9107</v>
      </c>
      <c r="D203" s="150" t="s">
        <v>153</v>
      </c>
      <c r="E203" s="150" t="s">
        <v>41</v>
      </c>
      <c r="F203" s="150" t="s">
        <v>278</v>
      </c>
      <c r="G203" s="150" t="s">
        <v>40</v>
      </c>
      <c r="H203" s="150">
        <v>20</v>
      </c>
      <c r="I203" s="151">
        <v>1</v>
      </c>
      <c r="J203" s="152">
        <v>10.95</v>
      </c>
      <c r="K203" s="153">
        <f t="shared" si="30"/>
        <v>11.497999999999999</v>
      </c>
      <c r="L203" s="153" t="str">
        <f t="shared" si="22"/>
        <v>-</v>
      </c>
      <c r="M203" s="215"/>
      <c r="N203"/>
      <c r="O203"/>
      <c r="P203"/>
    </row>
    <row r="204" spans="1:16" s="51" customFormat="1" ht="21.75" customHeight="1">
      <c r="A204" s="111">
        <v>174</v>
      </c>
      <c r="B204" s="66" t="s">
        <v>53</v>
      </c>
      <c r="C204" s="112">
        <v>9250</v>
      </c>
      <c r="D204" s="91" t="s">
        <v>279</v>
      </c>
      <c r="E204" s="91" t="s">
        <v>39</v>
      </c>
      <c r="F204" s="91" t="s">
        <v>147</v>
      </c>
      <c r="G204" s="91" t="s">
        <v>40</v>
      </c>
      <c r="H204" s="91">
        <v>25</v>
      </c>
      <c r="I204" s="113">
        <v>1</v>
      </c>
      <c r="J204" s="154">
        <v>6.95</v>
      </c>
      <c r="K204" s="103">
        <f t="shared" si="30"/>
        <v>7.298</v>
      </c>
      <c r="L204" s="103" t="str">
        <f t="shared" si="22"/>
        <v>-</v>
      </c>
      <c r="M204" s="215"/>
      <c r="N204"/>
      <c r="O204"/>
      <c r="P204"/>
    </row>
    <row r="205" spans="1:16" s="51" customFormat="1" ht="21.75" customHeight="1">
      <c r="A205" s="147">
        <v>174</v>
      </c>
      <c r="B205" s="148" t="s">
        <v>53</v>
      </c>
      <c r="C205" s="149">
        <v>9251</v>
      </c>
      <c r="D205" s="150" t="s">
        <v>280</v>
      </c>
      <c r="E205" s="150" t="s">
        <v>41</v>
      </c>
      <c r="F205" s="150" t="s">
        <v>281</v>
      </c>
      <c r="G205" s="150" t="s">
        <v>40</v>
      </c>
      <c r="H205" s="150">
        <v>25</v>
      </c>
      <c r="I205" s="151">
        <v>1</v>
      </c>
      <c r="J205" s="152">
        <v>6.95</v>
      </c>
      <c r="K205" s="153">
        <f t="shared" si="30"/>
        <v>7.298</v>
      </c>
      <c r="L205" s="153" t="str">
        <f t="shared" si="22"/>
        <v>-</v>
      </c>
      <c r="M205" s="215"/>
      <c r="N205"/>
      <c r="O205"/>
      <c r="P205"/>
    </row>
    <row r="206" spans="1:16" ht="24.95" customHeight="1">
      <c r="A206" s="111">
        <v>176</v>
      </c>
      <c r="B206" s="66" t="s">
        <v>53</v>
      </c>
      <c r="C206" s="112">
        <v>9123</v>
      </c>
      <c r="D206" s="91" t="s">
        <v>282</v>
      </c>
      <c r="E206" s="91" t="s">
        <v>107</v>
      </c>
      <c r="F206" s="91" t="s">
        <v>0</v>
      </c>
      <c r="G206" s="91" t="s">
        <v>40</v>
      </c>
      <c r="H206" s="91">
        <v>50</v>
      </c>
      <c r="I206" s="113">
        <v>1</v>
      </c>
      <c r="J206" s="154">
        <v>1.95</v>
      </c>
      <c r="K206" s="103">
        <f t="shared" si="30"/>
        <v>2.048</v>
      </c>
      <c r="L206" s="103" t="str">
        <f>IF(I206=1,"-",IF(AND(I206="",L205="-"),"-",ROUNDUP((J206*0.2)+J206,3)))</f>
        <v>-</v>
      </c>
      <c r="M206" s="215"/>
    </row>
    <row r="207" spans="1:16" ht="24.95" customHeight="1">
      <c r="A207" s="147">
        <v>176</v>
      </c>
      <c r="B207" s="148" t="s">
        <v>53</v>
      </c>
      <c r="C207" s="149">
        <v>9124</v>
      </c>
      <c r="D207" s="150" t="s">
        <v>283</v>
      </c>
      <c r="E207" s="150" t="s">
        <v>107</v>
      </c>
      <c r="F207" s="150" t="s">
        <v>0</v>
      </c>
      <c r="G207" s="150" t="s">
        <v>40</v>
      </c>
      <c r="H207" s="150">
        <v>100</v>
      </c>
      <c r="I207" s="151">
        <v>1</v>
      </c>
      <c r="J207" s="152">
        <v>1.75</v>
      </c>
      <c r="K207" s="153">
        <f t="shared" si="30"/>
        <v>1.8379999999999999</v>
      </c>
      <c r="L207" s="153" t="str">
        <f>IF(I207=1,"-",IF(AND(I207="",L122="-"),"-",ROUNDUP((J207*0.2)+J207,3)))</f>
        <v>-</v>
      </c>
      <c r="M207" s="215"/>
    </row>
    <row r="208" spans="1:16" ht="24.95" customHeight="1">
      <c r="A208" s="111">
        <v>176</v>
      </c>
      <c r="B208" s="66" t="s">
        <v>53</v>
      </c>
      <c r="C208" s="112">
        <v>9127</v>
      </c>
      <c r="D208" s="91" t="s">
        <v>284</v>
      </c>
      <c r="E208" s="91" t="s">
        <v>107</v>
      </c>
      <c r="F208" s="91" t="s">
        <v>253</v>
      </c>
      <c r="G208" s="91" t="s">
        <v>40</v>
      </c>
      <c r="H208" s="91">
        <v>50</v>
      </c>
      <c r="I208" s="113">
        <v>1</v>
      </c>
      <c r="J208" s="154">
        <v>4.2</v>
      </c>
      <c r="K208" s="103">
        <f t="shared" si="30"/>
        <v>4.41</v>
      </c>
      <c r="L208" s="103" t="str">
        <f t="shared" si="22"/>
        <v>-</v>
      </c>
      <c r="M208" s="215"/>
    </row>
    <row r="209" spans="1:16" ht="24.95" customHeight="1">
      <c r="A209" s="147">
        <v>177</v>
      </c>
      <c r="B209" s="148" t="s">
        <v>53</v>
      </c>
      <c r="C209" s="149">
        <v>9126</v>
      </c>
      <c r="D209" s="150" t="s">
        <v>285</v>
      </c>
      <c r="E209" s="150" t="s">
        <v>107</v>
      </c>
      <c r="F209" s="150" t="s">
        <v>253</v>
      </c>
      <c r="G209" s="150" t="s">
        <v>40</v>
      </c>
      <c r="H209" s="150">
        <v>50</v>
      </c>
      <c r="I209" s="151">
        <v>1</v>
      </c>
      <c r="J209" s="152">
        <v>7.95</v>
      </c>
      <c r="K209" s="153">
        <f t="shared" si="30"/>
        <v>8.347999999999999</v>
      </c>
      <c r="L209" s="153" t="str">
        <f t="shared" si="22"/>
        <v>-</v>
      </c>
      <c r="M209" s="215"/>
    </row>
    <row r="210" spans="1:16" ht="24.95" customHeight="1">
      <c r="A210" s="111">
        <v>179</v>
      </c>
      <c r="B210" s="66" t="s">
        <v>53</v>
      </c>
      <c r="C210" s="112">
        <v>9139</v>
      </c>
      <c r="D210" s="91" t="s">
        <v>286</v>
      </c>
      <c r="E210" s="91" t="s">
        <v>107</v>
      </c>
      <c r="F210" s="91" t="s">
        <v>253</v>
      </c>
      <c r="G210" s="91" t="s">
        <v>84</v>
      </c>
      <c r="H210" s="91">
        <v>50</v>
      </c>
      <c r="I210" s="113">
        <v>1</v>
      </c>
      <c r="J210" s="154">
        <v>4.95</v>
      </c>
      <c r="K210" s="103">
        <f t="shared" si="30"/>
        <v>5.1980000000000004</v>
      </c>
      <c r="L210" s="103" t="str">
        <f t="shared" si="22"/>
        <v>-</v>
      </c>
      <c r="M210" s="215"/>
    </row>
    <row r="211" spans="1:16" ht="24.95" customHeight="1">
      <c r="A211" s="147">
        <v>179</v>
      </c>
      <c r="B211" s="148" t="s">
        <v>53</v>
      </c>
      <c r="C211" s="149">
        <v>9129</v>
      </c>
      <c r="D211" s="150" t="s">
        <v>287</v>
      </c>
      <c r="E211" s="150" t="s">
        <v>107</v>
      </c>
      <c r="F211" s="150" t="s">
        <v>253</v>
      </c>
      <c r="G211" s="150" t="s">
        <v>84</v>
      </c>
      <c r="H211" s="150">
        <v>100</v>
      </c>
      <c r="I211" s="151">
        <v>10</v>
      </c>
      <c r="J211" s="152">
        <v>1.75</v>
      </c>
      <c r="K211" s="153">
        <f t="shared" si="30"/>
        <v>1.8379999999999999</v>
      </c>
      <c r="L211" s="153">
        <f t="shared" si="22"/>
        <v>2.1</v>
      </c>
      <c r="M211" s="215"/>
    </row>
    <row r="212" spans="1:16" ht="24.95" customHeight="1">
      <c r="A212" s="111">
        <v>179</v>
      </c>
      <c r="B212" s="66" t="s">
        <v>53</v>
      </c>
      <c r="C212" s="112">
        <v>9125</v>
      </c>
      <c r="D212" s="91" t="s">
        <v>288</v>
      </c>
      <c r="E212" s="91" t="s">
        <v>107</v>
      </c>
      <c r="F212" s="91" t="s">
        <v>289</v>
      </c>
      <c r="G212" s="91" t="s">
        <v>84</v>
      </c>
      <c r="H212" s="91">
        <v>50</v>
      </c>
      <c r="I212" s="113">
        <v>1</v>
      </c>
      <c r="J212" s="154">
        <v>3.5</v>
      </c>
      <c r="K212" s="103">
        <f t="shared" si="30"/>
        <v>3.6749999999999998</v>
      </c>
      <c r="L212" s="103" t="str">
        <f t="shared" si="22"/>
        <v>-</v>
      </c>
      <c r="M212" s="215"/>
    </row>
    <row r="213" spans="1:16" ht="21.75" customHeight="1">
      <c r="A213" s="147">
        <v>179</v>
      </c>
      <c r="B213" s="148" t="s">
        <v>53</v>
      </c>
      <c r="C213" s="149">
        <v>9128</v>
      </c>
      <c r="D213" s="150" t="s">
        <v>290</v>
      </c>
      <c r="E213" s="150" t="s">
        <v>107</v>
      </c>
      <c r="F213" s="150" t="s">
        <v>253</v>
      </c>
      <c r="G213" s="150" t="s">
        <v>84</v>
      </c>
      <c r="H213" s="150">
        <v>100</v>
      </c>
      <c r="I213" s="151">
        <v>50</v>
      </c>
      <c r="J213" s="152">
        <v>1.6</v>
      </c>
      <c r="K213" s="153">
        <f t="shared" si="30"/>
        <v>1.68</v>
      </c>
      <c r="L213" s="153">
        <f t="shared" si="22"/>
        <v>1.92</v>
      </c>
      <c r="M213" s="215"/>
    </row>
    <row r="214" spans="1:16" ht="21.75" customHeight="1">
      <c r="A214" s="277" t="s">
        <v>291</v>
      </c>
      <c r="B214" s="277"/>
      <c r="C214" s="277"/>
      <c r="D214" s="277"/>
      <c r="E214" s="277"/>
      <c r="F214" s="277"/>
      <c r="G214" s="277"/>
      <c r="H214" s="277"/>
      <c r="I214" s="277"/>
      <c r="J214" s="277"/>
      <c r="K214" s="277"/>
      <c r="L214" s="277"/>
      <c r="M214" s="215"/>
    </row>
    <row r="215" spans="1:16" ht="21.75" customHeight="1">
      <c r="A215" s="296">
        <v>184</v>
      </c>
      <c r="B215" s="297" t="s">
        <v>53</v>
      </c>
      <c r="C215" s="298">
        <v>6681</v>
      </c>
      <c r="D215" s="299" t="s">
        <v>113</v>
      </c>
      <c r="E215" s="57" t="s">
        <v>106</v>
      </c>
      <c r="F215" s="57" t="s">
        <v>62</v>
      </c>
      <c r="G215" s="57" t="s">
        <v>44</v>
      </c>
      <c r="H215" s="299">
        <v>50</v>
      </c>
      <c r="I215" s="300">
        <v>5</v>
      </c>
      <c r="J215" s="102">
        <v>1.99</v>
      </c>
      <c r="K215" s="103">
        <f t="shared" si="30"/>
        <v>2.09</v>
      </c>
      <c r="L215" s="103">
        <f t="shared" si="22"/>
        <v>2.3879999999999999</v>
      </c>
      <c r="M215" s="215"/>
    </row>
    <row r="216" spans="1:16" ht="21.75" customHeight="1">
      <c r="A216" s="296"/>
      <c r="B216" s="297"/>
      <c r="C216" s="298"/>
      <c r="D216" s="299"/>
      <c r="E216" s="57" t="s">
        <v>106</v>
      </c>
      <c r="F216" s="57" t="s">
        <v>78</v>
      </c>
      <c r="G216" s="57" t="s">
        <v>44</v>
      </c>
      <c r="H216" s="299"/>
      <c r="I216" s="300"/>
      <c r="J216" s="102">
        <v>2.2000000000000002</v>
      </c>
      <c r="K216" s="103">
        <f t="shared" si="30"/>
        <v>2.31</v>
      </c>
      <c r="L216" s="103">
        <f t="shared" si="22"/>
        <v>2.64</v>
      </c>
      <c r="M216" s="215"/>
    </row>
    <row r="217" spans="1:16" ht="21.75" customHeight="1">
      <c r="A217" s="296"/>
      <c r="B217" s="297"/>
      <c r="C217" s="298"/>
      <c r="D217" s="299"/>
      <c r="E217" s="57" t="s">
        <v>106</v>
      </c>
      <c r="F217" s="57" t="s">
        <v>79</v>
      </c>
      <c r="G217" s="57" t="s">
        <v>44</v>
      </c>
      <c r="H217" s="299"/>
      <c r="I217" s="300"/>
      <c r="J217" s="102">
        <v>2.4500000000000002</v>
      </c>
      <c r="K217" s="103">
        <f t="shared" si="30"/>
        <v>2.573</v>
      </c>
      <c r="L217" s="103">
        <f t="shared" si="22"/>
        <v>2.94</v>
      </c>
      <c r="M217" s="215"/>
    </row>
    <row r="218" spans="1:16" ht="21.75" customHeight="1">
      <c r="A218" s="296"/>
      <c r="B218" s="297"/>
      <c r="C218" s="298"/>
      <c r="D218" s="299"/>
      <c r="E218" s="57" t="s">
        <v>106</v>
      </c>
      <c r="F218" s="57" t="s">
        <v>86</v>
      </c>
      <c r="G218" s="57" t="s">
        <v>44</v>
      </c>
      <c r="H218" s="299"/>
      <c r="I218" s="300"/>
      <c r="J218" s="102">
        <v>2.7</v>
      </c>
      <c r="K218" s="103">
        <f t="shared" si="30"/>
        <v>2.835</v>
      </c>
      <c r="L218" s="103">
        <f t="shared" si="22"/>
        <v>3.24</v>
      </c>
      <c r="M218" s="215"/>
    </row>
    <row r="219" spans="1:16" ht="21.75" customHeight="1">
      <c r="A219" s="296"/>
      <c r="B219" s="297"/>
      <c r="C219" s="298"/>
      <c r="D219" s="299"/>
      <c r="E219" s="57" t="s">
        <v>106</v>
      </c>
      <c r="F219" s="57" t="s">
        <v>62</v>
      </c>
      <c r="G219" s="57" t="s">
        <v>40</v>
      </c>
      <c r="H219" s="299"/>
      <c r="I219" s="300"/>
      <c r="J219" s="102">
        <v>2.4</v>
      </c>
      <c r="K219" s="103">
        <f t="shared" si="30"/>
        <v>2.52</v>
      </c>
      <c r="L219" s="103">
        <f t="shared" si="22"/>
        <v>2.88</v>
      </c>
      <c r="M219" s="215"/>
    </row>
    <row r="220" spans="1:16" ht="21.75" customHeight="1">
      <c r="A220" s="296"/>
      <c r="B220" s="297"/>
      <c r="C220" s="298"/>
      <c r="D220" s="299"/>
      <c r="E220" s="57" t="s">
        <v>106</v>
      </c>
      <c r="F220" s="57" t="s">
        <v>78</v>
      </c>
      <c r="G220" s="57" t="s">
        <v>40</v>
      </c>
      <c r="H220" s="299"/>
      <c r="I220" s="300"/>
      <c r="J220" s="102">
        <v>3.4</v>
      </c>
      <c r="K220" s="103">
        <f t="shared" si="30"/>
        <v>3.57</v>
      </c>
      <c r="L220" s="103">
        <f t="shared" si="22"/>
        <v>4.08</v>
      </c>
      <c r="M220" s="215"/>
    </row>
    <row r="221" spans="1:16" s="51" customFormat="1" ht="21.75" customHeight="1">
      <c r="A221" s="296"/>
      <c r="B221" s="297"/>
      <c r="C221" s="298"/>
      <c r="D221" s="299"/>
      <c r="E221" s="57" t="s">
        <v>106</v>
      </c>
      <c r="F221" s="57" t="s">
        <v>292</v>
      </c>
      <c r="G221" s="57" t="s">
        <v>40</v>
      </c>
      <c r="H221" s="299"/>
      <c r="I221" s="300"/>
      <c r="J221" s="102">
        <v>3.6</v>
      </c>
      <c r="K221" s="103">
        <f t="shared" si="30"/>
        <v>3.78</v>
      </c>
      <c r="L221" s="103">
        <f t="shared" si="22"/>
        <v>4.32</v>
      </c>
      <c r="M221" s="215"/>
      <c r="N221"/>
      <c r="O221"/>
      <c r="P221"/>
    </row>
    <row r="222" spans="1:16" s="51" customFormat="1" ht="21.75" customHeight="1">
      <c r="A222" s="296"/>
      <c r="B222" s="297"/>
      <c r="C222" s="298"/>
      <c r="D222" s="299"/>
      <c r="E222" s="57" t="s">
        <v>106</v>
      </c>
      <c r="F222" s="57" t="s">
        <v>86</v>
      </c>
      <c r="G222" s="57" t="s">
        <v>40</v>
      </c>
      <c r="H222" s="299"/>
      <c r="I222" s="300"/>
      <c r="J222" s="102">
        <v>3.95</v>
      </c>
      <c r="K222" s="103">
        <f t="shared" si="30"/>
        <v>4.1480000000000006</v>
      </c>
      <c r="L222" s="103">
        <f t="shared" si="22"/>
        <v>4.74</v>
      </c>
      <c r="M222" s="215"/>
      <c r="N222"/>
      <c r="O222"/>
      <c r="P222"/>
    </row>
    <row r="223" spans="1:16" s="51" customFormat="1" ht="21.75" customHeight="1">
      <c r="A223" s="226">
        <v>184</v>
      </c>
      <c r="B223" s="227" t="s">
        <v>53</v>
      </c>
      <c r="C223" s="228">
        <v>6683</v>
      </c>
      <c r="D223" s="229" t="s">
        <v>87</v>
      </c>
      <c r="E223" s="159" t="s">
        <v>41</v>
      </c>
      <c r="F223" s="159" t="s">
        <v>62</v>
      </c>
      <c r="G223" s="159" t="s">
        <v>44</v>
      </c>
      <c r="H223" s="229">
        <v>50</v>
      </c>
      <c r="I223" s="230">
        <v>5</v>
      </c>
      <c r="J223" s="165">
        <v>1.75</v>
      </c>
      <c r="K223" s="166">
        <f t="shared" si="30"/>
        <v>1.8379999999999999</v>
      </c>
      <c r="L223" s="166">
        <f t="shared" si="22"/>
        <v>2.1</v>
      </c>
      <c r="M223" s="215"/>
      <c r="N223"/>
      <c r="O223"/>
      <c r="P223"/>
    </row>
    <row r="224" spans="1:16" s="51" customFormat="1" ht="21.75" customHeight="1">
      <c r="A224" s="226"/>
      <c r="B224" s="227"/>
      <c r="C224" s="228"/>
      <c r="D224" s="229"/>
      <c r="E224" s="159" t="s">
        <v>41</v>
      </c>
      <c r="F224" s="159" t="s">
        <v>78</v>
      </c>
      <c r="G224" s="159" t="s">
        <v>44</v>
      </c>
      <c r="H224" s="229"/>
      <c r="I224" s="230"/>
      <c r="J224" s="165">
        <v>2.1</v>
      </c>
      <c r="K224" s="166">
        <f t="shared" si="30"/>
        <v>2.2050000000000001</v>
      </c>
      <c r="L224" s="166">
        <f t="shared" si="22"/>
        <v>2.52</v>
      </c>
      <c r="M224" s="215"/>
      <c r="N224"/>
      <c r="O224"/>
      <c r="P224"/>
    </row>
    <row r="225" spans="1:16" ht="24.95" customHeight="1">
      <c r="A225" s="226"/>
      <c r="B225" s="227"/>
      <c r="C225" s="228"/>
      <c r="D225" s="229"/>
      <c r="E225" s="159" t="s">
        <v>41</v>
      </c>
      <c r="F225" s="159" t="s">
        <v>62</v>
      </c>
      <c r="G225" s="159" t="s">
        <v>101</v>
      </c>
      <c r="H225" s="229"/>
      <c r="I225" s="230"/>
      <c r="J225" s="165">
        <v>1.99</v>
      </c>
      <c r="K225" s="166">
        <f t="shared" si="30"/>
        <v>2.09</v>
      </c>
      <c r="L225" s="166">
        <f t="shared" si="22"/>
        <v>2.3879999999999999</v>
      </c>
      <c r="M225" s="215"/>
    </row>
    <row r="226" spans="1:16" ht="24.95" customHeight="1">
      <c r="A226" s="226"/>
      <c r="B226" s="227"/>
      <c r="C226" s="228"/>
      <c r="D226" s="229"/>
      <c r="E226" s="159" t="s">
        <v>41</v>
      </c>
      <c r="F226" s="159" t="s">
        <v>78</v>
      </c>
      <c r="G226" s="159" t="s">
        <v>101</v>
      </c>
      <c r="H226" s="229"/>
      <c r="I226" s="230"/>
      <c r="J226" s="165">
        <v>2.88</v>
      </c>
      <c r="K226" s="166">
        <f t="shared" si="30"/>
        <v>3.024</v>
      </c>
      <c r="L226" s="166">
        <f t="shared" si="22"/>
        <v>3.456</v>
      </c>
      <c r="M226" s="215"/>
    </row>
    <row r="227" spans="1:16" ht="24.95" customHeight="1">
      <c r="A227" s="223">
        <v>184</v>
      </c>
      <c r="B227" s="222" t="s">
        <v>53</v>
      </c>
      <c r="C227" s="221">
        <v>6502</v>
      </c>
      <c r="D227" s="220" t="s">
        <v>30</v>
      </c>
      <c r="E227" s="61" t="s">
        <v>106</v>
      </c>
      <c r="F227" s="61" t="s">
        <v>62</v>
      </c>
      <c r="G227" s="61" t="s">
        <v>44</v>
      </c>
      <c r="H227" s="220">
        <v>100</v>
      </c>
      <c r="I227" s="225">
        <v>5</v>
      </c>
      <c r="J227" s="102">
        <v>1.75</v>
      </c>
      <c r="K227" s="103">
        <f t="shared" si="30"/>
        <v>1.8379999999999999</v>
      </c>
      <c r="L227" s="103">
        <f t="shared" si="22"/>
        <v>2.1</v>
      </c>
      <c r="M227" s="215"/>
    </row>
    <row r="228" spans="1:16" ht="24.95" customHeight="1">
      <c r="A228" s="223"/>
      <c r="B228" s="222"/>
      <c r="C228" s="221"/>
      <c r="D228" s="220"/>
      <c r="E228" s="61" t="s">
        <v>106</v>
      </c>
      <c r="F228" s="61" t="s">
        <v>78</v>
      </c>
      <c r="G228" s="61" t="s">
        <v>44</v>
      </c>
      <c r="H228" s="220"/>
      <c r="I228" s="225"/>
      <c r="J228" s="102">
        <v>2.1</v>
      </c>
      <c r="K228" s="103">
        <f t="shared" si="30"/>
        <v>2.2050000000000001</v>
      </c>
      <c r="L228" s="103">
        <f t="shared" si="22"/>
        <v>2.52</v>
      </c>
      <c r="M228" s="215"/>
    </row>
    <row r="229" spans="1:16" ht="24.95" customHeight="1">
      <c r="A229" s="223"/>
      <c r="B229" s="222"/>
      <c r="C229" s="221"/>
      <c r="D229" s="220"/>
      <c r="E229" s="61" t="s">
        <v>106</v>
      </c>
      <c r="F229" s="61" t="s">
        <v>79</v>
      </c>
      <c r="G229" s="61" t="s">
        <v>44</v>
      </c>
      <c r="H229" s="220"/>
      <c r="I229" s="225"/>
      <c r="J229" s="102">
        <v>2.2999999999999998</v>
      </c>
      <c r="K229" s="103">
        <f t="shared" si="30"/>
        <v>2.415</v>
      </c>
      <c r="L229" s="103">
        <f t="shared" si="22"/>
        <v>2.76</v>
      </c>
      <c r="M229" s="215"/>
    </row>
    <row r="230" spans="1:16" ht="24.95" customHeight="1">
      <c r="A230" s="223"/>
      <c r="B230" s="222"/>
      <c r="C230" s="221"/>
      <c r="D230" s="220"/>
      <c r="E230" s="61" t="s">
        <v>106</v>
      </c>
      <c r="F230" s="61" t="s">
        <v>86</v>
      </c>
      <c r="G230" s="61" t="s">
        <v>44</v>
      </c>
      <c r="H230" s="220"/>
      <c r="I230" s="225"/>
      <c r="J230" s="102">
        <v>2.6</v>
      </c>
      <c r="K230" s="103">
        <f t="shared" si="30"/>
        <v>2.73</v>
      </c>
      <c r="L230" s="103">
        <f t="shared" si="22"/>
        <v>3.12</v>
      </c>
      <c r="M230" s="215"/>
    </row>
    <row r="231" spans="1:16" ht="24.95" customHeight="1">
      <c r="A231" s="223"/>
      <c r="B231" s="222"/>
      <c r="C231" s="221"/>
      <c r="D231" s="220"/>
      <c r="E231" s="61" t="s">
        <v>106</v>
      </c>
      <c r="F231" s="61" t="s">
        <v>62</v>
      </c>
      <c r="G231" s="61" t="s">
        <v>40</v>
      </c>
      <c r="H231" s="220"/>
      <c r="I231" s="225"/>
      <c r="J231" s="102">
        <v>1.99</v>
      </c>
      <c r="K231" s="103">
        <f t="shared" si="30"/>
        <v>2.09</v>
      </c>
      <c r="L231" s="103">
        <f t="shared" si="22"/>
        <v>2.3879999999999999</v>
      </c>
      <c r="M231" s="215"/>
    </row>
    <row r="232" spans="1:16" ht="24.95" customHeight="1">
      <c r="A232" s="223"/>
      <c r="B232" s="222"/>
      <c r="C232" s="221"/>
      <c r="D232" s="220"/>
      <c r="E232" s="61" t="s">
        <v>106</v>
      </c>
      <c r="F232" s="61" t="s">
        <v>78</v>
      </c>
      <c r="G232" s="61" t="s">
        <v>40</v>
      </c>
      <c r="H232" s="220"/>
      <c r="I232" s="225"/>
      <c r="J232" s="102">
        <v>2.88</v>
      </c>
      <c r="K232" s="103">
        <f t="shared" si="30"/>
        <v>3.024</v>
      </c>
      <c r="L232" s="103">
        <f t="shared" si="22"/>
        <v>3.456</v>
      </c>
      <c r="M232" s="215"/>
    </row>
    <row r="233" spans="1:16" ht="24.95" customHeight="1">
      <c r="A233" s="223"/>
      <c r="B233" s="222"/>
      <c r="C233" s="221"/>
      <c r="D233" s="220"/>
      <c r="E233" s="61" t="s">
        <v>106</v>
      </c>
      <c r="F233" s="61" t="s">
        <v>79</v>
      </c>
      <c r="G233" s="61" t="s">
        <v>40</v>
      </c>
      <c r="H233" s="220"/>
      <c r="I233" s="225"/>
      <c r="J233" s="102">
        <v>3.43</v>
      </c>
      <c r="K233" s="103">
        <f t="shared" ref="K233:K266" si="31">IF(I233=1,(ROUNDUP((J233*0.05+J233),3)),ROUNDUP((J233*0.05+J233),3))</f>
        <v>3.6019999999999999</v>
      </c>
      <c r="L233" s="103">
        <f t="shared" si="22"/>
        <v>4.1159999999999997</v>
      </c>
      <c r="M233" s="215"/>
    </row>
    <row r="234" spans="1:16" ht="24.95" customHeight="1">
      <c r="A234" s="223"/>
      <c r="B234" s="222"/>
      <c r="C234" s="221"/>
      <c r="D234" s="220"/>
      <c r="E234" s="61" t="s">
        <v>106</v>
      </c>
      <c r="F234" s="61" t="s">
        <v>86</v>
      </c>
      <c r="G234" s="61" t="s">
        <v>40</v>
      </c>
      <c r="H234" s="220"/>
      <c r="I234" s="225"/>
      <c r="J234" s="102">
        <v>3.85</v>
      </c>
      <c r="K234" s="103">
        <f t="shared" si="31"/>
        <v>4.0430000000000001</v>
      </c>
      <c r="L234" s="103">
        <f t="shared" si="22"/>
        <v>4.62</v>
      </c>
      <c r="M234" s="215"/>
    </row>
    <row r="235" spans="1:16" s="51" customFormat="1" ht="24.95" customHeight="1">
      <c r="A235" s="226">
        <v>184</v>
      </c>
      <c r="B235" s="227" t="s">
        <v>53</v>
      </c>
      <c r="C235" s="229">
        <v>6503</v>
      </c>
      <c r="D235" s="229" t="s">
        <v>24</v>
      </c>
      <c r="E235" s="159" t="s">
        <v>106</v>
      </c>
      <c r="F235" s="159" t="s">
        <v>62</v>
      </c>
      <c r="G235" s="159" t="s">
        <v>44</v>
      </c>
      <c r="H235" s="229">
        <v>100</v>
      </c>
      <c r="I235" s="230">
        <v>5</v>
      </c>
      <c r="J235" s="165">
        <v>1.9</v>
      </c>
      <c r="K235" s="166">
        <f t="shared" si="31"/>
        <v>1.9950000000000001</v>
      </c>
      <c r="L235" s="166">
        <f t="shared" si="22"/>
        <v>2.2799999999999998</v>
      </c>
      <c r="M235" s="215"/>
      <c r="N235"/>
      <c r="O235"/>
      <c r="P235"/>
    </row>
    <row r="236" spans="1:16" s="51" customFormat="1" ht="24.95" customHeight="1">
      <c r="A236" s="226"/>
      <c r="B236" s="227"/>
      <c r="C236" s="229"/>
      <c r="D236" s="229"/>
      <c r="E236" s="159" t="s">
        <v>106</v>
      </c>
      <c r="F236" s="159" t="s">
        <v>78</v>
      </c>
      <c r="G236" s="159" t="s">
        <v>44</v>
      </c>
      <c r="H236" s="229"/>
      <c r="I236" s="230"/>
      <c r="J236" s="165">
        <v>2.4</v>
      </c>
      <c r="K236" s="166">
        <f t="shared" si="31"/>
        <v>2.52</v>
      </c>
      <c r="L236" s="166">
        <f t="shared" si="22"/>
        <v>2.88</v>
      </c>
      <c r="M236" s="215"/>
      <c r="N236"/>
      <c r="O236"/>
      <c r="P236"/>
    </row>
    <row r="237" spans="1:16" s="51" customFormat="1" ht="24.95" customHeight="1">
      <c r="A237" s="226"/>
      <c r="B237" s="227"/>
      <c r="C237" s="229"/>
      <c r="D237" s="229"/>
      <c r="E237" s="159" t="s">
        <v>106</v>
      </c>
      <c r="F237" s="159" t="s">
        <v>62</v>
      </c>
      <c r="G237" s="159" t="s">
        <v>40</v>
      </c>
      <c r="H237" s="229"/>
      <c r="I237" s="230"/>
      <c r="J237" s="165">
        <v>2.25</v>
      </c>
      <c r="K237" s="166">
        <f t="shared" si="31"/>
        <v>2.363</v>
      </c>
      <c r="L237" s="166">
        <f t="shared" si="22"/>
        <v>2.7</v>
      </c>
      <c r="M237" s="215"/>
      <c r="N237"/>
      <c r="O237"/>
      <c r="P237"/>
    </row>
    <row r="238" spans="1:16" s="51" customFormat="1" ht="24.95" customHeight="1">
      <c r="A238" s="226"/>
      <c r="B238" s="227"/>
      <c r="C238" s="229"/>
      <c r="D238" s="229"/>
      <c r="E238" s="159" t="s">
        <v>106</v>
      </c>
      <c r="F238" s="159" t="s">
        <v>78</v>
      </c>
      <c r="G238" s="159" t="s">
        <v>40</v>
      </c>
      <c r="H238" s="229"/>
      <c r="I238" s="230"/>
      <c r="J238" s="165">
        <v>2.85</v>
      </c>
      <c r="K238" s="166">
        <f t="shared" si="31"/>
        <v>2.9929999999999999</v>
      </c>
      <c r="L238" s="166">
        <f t="shared" si="22"/>
        <v>3.42</v>
      </c>
      <c r="M238" s="215"/>
      <c r="N238"/>
      <c r="O238"/>
      <c r="P238"/>
    </row>
    <row r="239" spans="1:16" ht="21.75" customHeight="1">
      <c r="A239" s="223">
        <v>187</v>
      </c>
      <c r="B239" s="224" t="s">
        <v>53</v>
      </c>
      <c r="C239" s="221">
        <v>6554</v>
      </c>
      <c r="D239" s="220" t="s">
        <v>42</v>
      </c>
      <c r="E239" s="61" t="s">
        <v>39</v>
      </c>
      <c r="F239" s="61" t="s">
        <v>80</v>
      </c>
      <c r="G239" s="61" t="s">
        <v>44</v>
      </c>
      <c r="H239" s="220">
        <v>100</v>
      </c>
      <c r="I239" s="225">
        <v>5</v>
      </c>
      <c r="J239" s="102">
        <v>1.45</v>
      </c>
      <c r="K239" s="103">
        <f t="shared" si="31"/>
        <v>1.5229999999999999</v>
      </c>
      <c r="L239" s="103">
        <f t="shared" si="22"/>
        <v>1.74</v>
      </c>
      <c r="M239" s="215"/>
    </row>
    <row r="240" spans="1:16" ht="21.75" customHeight="1">
      <c r="A240" s="223"/>
      <c r="B240" s="224"/>
      <c r="C240" s="221"/>
      <c r="D240" s="220"/>
      <c r="E240" s="61" t="s">
        <v>39</v>
      </c>
      <c r="F240" s="61" t="s">
        <v>78</v>
      </c>
      <c r="G240" s="61" t="s">
        <v>44</v>
      </c>
      <c r="H240" s="220"/>
      <c r="I240" s="225"/>
      <c r="J240" s="102">
        <v>1.65</v>
      </c>
      <c r="K240" s="103">
        <f t="shared" si="31"/>
        <v>1.7329999999999999</v>
      </c>
      <c r="L240" s="103">
        <f t="shared" ref="L240:L264" si="32">IF(I240=1,"-",IF(AND(I240="",L238="-"),"-",ROUNDUP((J240*0.2)+J240,3)))</f>
        <v>1.98</v>
      </c>
      <c r="M240" s="215"/>
    </row>
    <row r="241" spans="1:42" ht="21.75" customHeight="1">
      <c r="A241" s="223"/>
      <c r="B241" s="224"/>
      <c r="C241" s="221"/>
      <c r="D241" s="220"/>
      <c r="E241" s="61" t="s">
        <v>39</v>
      </c>
      <c r="F241" s="61" t="s">
        <v>79</v>
      </c>
      <c r="G241" s="61" t="s">
        <v>44</v>
      </c>
      <c r="H241" s="220"/>
      <c r="I241" s="225"/>
      <c r="J241" s="102">
        <v>2.1</v>
      </c>
      <c r="K241" s="103">
        <f t="shared" si="31"/>
        <v>2.2050000000000001</v>
      </c>
      <c r="L241" s="103">
        <f t="shared" si="32"/>
        <v>2.52</v>
      </c>
      <c r="M241" s="215"/>
    </row>
    <row r="242" spans="1:42" ht="21.75" customHeight="1">
      <c r="A242" s="223"/>
      <c r="B242" s="224"/>
      <c r="C242" s="221"/>
      <c r="D242" s="220"/>
      <c r="E242" s="61" t="s">
        <v>39</v>
      </c>
      <c r="F242" s="61" t="s">
        <v>86</v>
      </c>
      <c r="G242" s="61" t="s">
        <v>44</v>
      </c>
      <c r="H242" s="220"/>
      <c r="I242" s="225"/>
      <c r="J242" s="102">
        <v>2.25</v>
      </c>
      <c r="K242" s="103">
        <f t="shared" ref="K242:K246" si="33">IF(I242=1,(ROUNDUP((J242*0.05+J242),3)),ROUNDUP((J242*0.05+J242),3))</f>
        <v>2.363</v>
      </c>
      <c r="L242" s="103">
        <f t="shared" ref="L242:L246" si="34">IF(I242=1,"-",IF(AND(I242="",L240="-"),"-",ROUNDUP((J242*0.2)+J242,3)))</f>
        <v>2.7</v>
      </c>
      <c r="M242" s="215"/>
    </row>
    <row r="243" spans="1:42" ht="21.75" customHeight="1">
      <c r="A243" s="223"/>
      <c r="B243" s="224"/>
      <c r="C243" s="221"/>
      <c r="D243" s="220"/>
      <c r="E243" s="61" t="s">
        <v>39</v>
      </c>
      <c r="F243" s="61" t="s">
        <v>80</v>
      </c>
      <c r="G243" s="61" t="s">
        <v>40</v>
      </c>
      <c r="H243" s="220"/>
      <c r="I243" s="225"/>
      <c r="J243" s="102">
        <v>1.65</v>
      </c>
      <c r="K243" s="103">
        <f t="shared" si="33"/>
        <v>1.7329999999999999</v>
      </c>
      <c r="L243" s="103">
        <f t="shared" si="34"/>
        <v>1.98</v>
      </c>
      <c r="M243" s="215"/>
    </row>
    <row r="244" spans="1:42" s="51" customFormat="1" ht="24.95" customHeight="1">
      <c r="A244" s="223"/>
      <c r="B244" s="224"/>
      <c r="C244" s="221"/>
      <c r="D244" s="220"/>
      <c r="E244" s="61" t="s">
        <v>39</v>
      </c>
      <c r="F244" s="61" t="s">
        <v>78</v>
      </c>
      <c r="G244" s="61" t="s">
        <v>40</v>
      </c>
      <c r="H244" s="220"/>
      <c r="I244" s="225"/>
      <c r="J244" s="102">
        <v>2</v>
      </c>
      <c r="K244" s="103">
        <f t="shared" si="33"/>
        <v>2.1</v>
      </c>
      <c r="L244" s="103">
        <f t="shared" si="34"/>
        <v>2.4</v>
      </c>
      <c r="M244" s="215"/>
      <c r="N244"/>
      <c r="O244"/>
      <c r="P244"/>
    </row>
    <row r="245" spans="1:42" s="51" customFormat="1" ht="24.95" customHeight="1">
      <c r="A245" s="223"/>
      <c r="B245" s="224"/>
      <c r="C245" s="221"/>
      <c r="D245" s="220"/>
      <c r="E245" s="61" t="s">
        <v>39</v>
      </c>
      <c r="F245" s="61" t="s">
        <v>79</v>
      </c>
      <c r="G245" s="61" t="s">
        <v>40</v>
      </c>
      <c r="H245" s="220"/>
      <c r="I245" s="225"/>
      <c r="J245" s="102">
        <v>2.25</v>
      </c>
      <c r="K245" s="103">
        <f t="shared" si="33"/>
        <v>2.363</v>
      </c>
      <c r="L245" s="103">
        <f t="shared" si="34"/>
        <v>2.7</v>
      </c>
      <c r="M245" s="215"/>
      <c r="N245"/>
      <c r="O245"/>
      <c r="P245"/>
    </row>
    <row r="246" spans="1:42" s="51" customFormat="1" ht="24.95" customHeight="1">
      <c r="A246" s="223"/>
      <c r="B246" s="224"/>
      <c r="C246" s="221"/>
      <c r="D246" s="220"/>
      <c r="E246" s="61" t="s">
        <v>39</v>
      </c>
      <c r="F246" s="61" t="s">
        <v>86</v>
      </c>
      <c r="G246" s="61" t="s">
        <v>40</v>
      </c>
      <c r="H246" s="220"/>
      <c r="I246" s="225"/>
      <c r="J246" s="102">
        <v>2.4</v>
      </c>
      <c r="K246" s="103">
        <f t="shared" si="33"/>
        <v>2.52</v>
      </c>
      <c r="L246" s="103">
        <f t="shared" si="34"/>
        <v>2.88</v>
      </c>
      <c r="M246" s="215"/>
      <c r="N246"/>
      <c r="O246"/>
      <c r="P246"/>
    </row>
    <row r="247" spans="1:42" s="51" customFormat="1" ht="24.95" customHeight="1">
      <c r="A247" s="226">
        <v>187</v>
      </c>
      <c r="B247" s="227" t="s">
        <v>53</v>
      </c>
      <c r="C247" s="228">
        <v>6627</v>
      </c>
      <c r="D247" s="229" t="s">
        <v>89</v>
      </c>
      <c r="E247" s="159" t="s">
        <v>41</v>
      </c>
      <c r="F247" s="159" t="s">
        <v>62</v>
      </c>
      <c r="G247" s="159" t="s">
        <v>44</v>
      </c>
      <c r="H247" s="229">
        <v>100</v>
      </c>
      <c r="I247" s="230">
        <v>5</v>
      </c>
      <c r="J247" s="165">
        <v>1.45</v>
      </c>
      <c r="K247" s="166">
        <f t="shared" si="31"/>
        <v>1.5229999999999999</v>
      </c>
      <c r="L247" s="166">
        <f>IF(I247=1,"-",IF(AND(I247="",L244="-"),"-",ROUNDUP((J247*0.2)+J247,3)))</f>
        <v>1.74</v>
      </c>
      <c r="M247" s="215"/>
      <c r="N247"/>
      <c r="O247"/>
      <c r="P247"/>
    </row>
    <row r="248" spans="1:42" s="51" customFormat="1" ht="24.95" customHeight="1">
      <c r="A248" s="226"/>
      <c r="B248" s="227"/>
      <c r="C248" s="228"/>
      <c r="D248" s="229"/>
      <c r="E248" s="159" t="s">
        <v>41</v>
      </c>
      <c r="F248" s="159" t="s">
        <v>78</v>
      </c>
      <c r="G248" s="159" t="s">
        <v>44</v>
      </c>
      <c r="H248" s="229"/>
      <c r="I248" s="230"/>
      <c r="J248" s="165">
        <v>1.65</v>
      </c>
      <c r="K248" s="166">
        <f t="shared" si="31"/>
        <v>1.7329999999999999</v>
      </c>
      <c r="L248" s="166">
        <f>IF(I248=1,"-",IF(AND(I248="",L245="-"),"-",ROUNDUP((J248*0.2)+J248,3)))</f>
        <v>1.98</v>
      </c>
      <c r="M248" s="215"/>
      <c r="N248"/>
      <c r="O248"/>
      <c r="P248"/>
    </row>
    <row r="249" spans="1:42" s="6" customFormat="1" ht="21.75" customHeight="1">
      <c r="A249" s="226"/>
      <c r="B249" s="227"/>
      <c r="C249" s="228"/>
      <c r="D249" s="229"/>
      <c r="E249" s="159" t="s">
        <v>41</v>
      </c>
      <c r="F249" s="159" t="s">
        <v>62</v>
      </c>
      <c r="G249" s="159" t="s">
        <v>40</v>
      </c>
      <c r="H249" s="229"/>
      <c r="I249" s="230"/>
      <c r="J249" s="165">
        <v>1.65</v>
      </c>
      <c r="K249" s="166">
        <f t="shared" si="31"/>
        <v>1.7329999999999999</v>
      </c>
      <c r="L249" s="166">
        <f t="shared" si="32"/>
        <v>1.98</v>
      </c>
      <c r="M249" s="215"/>
      <c r="N249"/>
      <c r="O249"/>
      <c r="P249"/>
      <c r="Q249"/>
      <c r="R249"/>
      <c r="S249"/>
      <c r="T249"/>
      <c r="U249"/>
      <c r="V249"/>
      <c r="W249"/>
      <c r="X249"/>
      <c r="Y249"/>
      <c r="Z249"/>
      <c r="AA249"/>
      <c r="AB249"/>
      <c r="AC249"/>
      <c r="AD249"/>
      <c r="AE249"/>
      <c r="AF249"/>
      <c r="AG249"/>
      <c r="AH249"/>
      <c r="AI249"/>
      <c r="AJ249"/>
      <c r="AK249"/>
      <c r="AL249"/>
      <c r="AM249"/>
      <c r="AN249"/>
      <c r="AO249"/>
      <c r="AP249"/>
    </row>
    <row r="250" spans="1:42" s="51" customFormat="1" ht="21.75" customHeight="1">
      <c r="A250" s="226"/>
      <c r="B250" s="227"/>
      <c r="C250" s="228"/>
      <c r="D250" s="229"/>
      <c r="E250" s="159" t="s">
        <v>41</v>
      </c>
      <c r="F250" s="159" t="s">
        <v>78</v>
      </c>
      <c r="G250" s="159" t="s">
        <v>40</v>
      </c>
      <c r="H250" s="229"/>
      <c r="I250" s="230"/>
      <c r="J250" s="165">
        <v>2</v>
      </c>
      <c r="K250" s="166">
        <f t="shared" si="31"/>
        <v>2.1</v>
      </c>
      <c r="L250" s="166">
        <f t="shared" si="32"/>
        <v>2.4</v>
      </c>
      <c r="M250" s="215"/>
      <c r="N250"/>
      <c r="O250"/>
      <c r="P250"/>
    </row>
    <row r="251" spans="1:42" ht="21.75" customHeight="1">
      <c r="A251" s="223">
        <v>187</v>
      </c>
      <c r="B251" s="222" t="s">
        <v>53</v>
      </c>
      <c r="C251" s="221">
        <v>6597</v>
      </c>
      <c r="D251" s="220" t="s">
        <v>293</v>
      </c>
      <c r="E251" s="61" t="s">
        <v>41</v>
      </c>
      <c r="F251" s="61" t="s">
        <v>62</v>
      </c>
      <c r="G251" s="61" t="s">
        <v>44</v>
      </c>
      <c r="H251" s="220">
        <v>100</v>
      </c>
      <c r="I251" s="225">
        <v>5</v>
      </c>
      <c r="J251" s="102">
        <v>2.5</v>
      </c>
      <c r="K251" s="103">
        <f t="shared" si="31"/>
        <v>2.625</v>
      </c>
      <c r="L251" s="103">
        <f t="shared" si="32"/>
        <v>3</v>
      </c>
      <c r="M251" s="215"/>
    </row>
    <row r="252" spans="1:42" ht="26.1" customHeight="1">
      <c r="A252" s="223"/>
      <c r="B252" s="222"/>
      <c r="C252" s="221"/>
      <c r="D252" s="220"/>
      <c r="E252" s="61" t="s">
        <v>41</v>
      </c>
      <c r="F252" s="61" t="s">
        <v>62</v>
      </c>
      <c r="G252" s="61" t="s">
        <v>40</v>
      </c>
      <c r="H252" s="220"/>
      <c r="I252" s="225"/>
      <c r="J252" s="102">
        <v>2.8</v>
      </c>
      <c r="K252" s="103">
        <f t="shared" si="31"/>
        <v>2.94</v>
      </c>
      <c r="L252" s="103">
        <f t="shared" si="32"/>
        <v>3.36</v>
      </c>
      <c r="M252" s="215"/>
    </row>
    <row r="253" spans="1:42" ht="26.1" customHeight="1">
      <c r="A253" s="226">
        <v>187</v>
      </c>
      <c r="B253" s="227" t="s">
        <v>53</v>
      </c>
      <c r="C253" s="228">
        <v>6523</v>
      </c>
      <c r="D253" s="229" t="s">
        <v>294</v>
      </c>
      <c r="E253" s="159" t="s">
        <v>106</v>
      </c>
      <c r="F253" s="159" t="s">
        <v>62</v>
      </c>
      <c r="G253" s="159" t="s">
        <v>44</v>
      </c>
      <c r="H253" s="229">
        <v>100</v>
      </c>
      <c r="I253" s="230">
        <v>5</v>
      </c>
      <c r="J253" s="165">
        <v>2.4</v>
      </c>
      <c r="K253" s="166">
        <f t="shared" si="31"/>
        <v>2.52</v>
      </c>
      <c r="L253" s="166">
        <f t="shared" si="32"/>
        <v>2.88</v>
      </c>
      <c r="M253" s="215"/>
    </row>
    <row r="254" spans="1:42" ht="26.1" customHeight="1">
      <c r="A254" s="226"/>
      <c r="B254" s="227"/>
      <c r="C254" s="228"/>
      <c r="D254" s="229"/>
      <c r="E254" s="159" t="s">
        <v>106</v>
      </c>
      <c r="F254" s="159" t="s">
        <v>78</v>
      </c>
      <c r="G254" s="159" t="s">
        <v>44</v>
      </c>
      <c r="H254" s="229"/>
      <c r="I254" s="230"/>
      <c r="J254" s="165">
        <v>2.61</v>
      </c>
      <c r="K254" s="166">
        <f t="shared" si="31"/>
        <v>2.7410000000000001</v>
      </c>
      <c r="L254" s="166">
        <f t="shared" si="32"/>
        <v>3.1320000000000001</v>
      </c>
      <c r="M254" s="215"/>
    </row>
    <row r="255" spans="1:42" s="6" customFormat="1" ht="26.1" customHeight="1">
      <c r="A255" s="226"/>
      <c r="B255" s="227"/>
      <c r="C255" s="228"/>
      <c r="D255" s="229"/>
      <c r="E255" s="159" t="s">
        <v>106</v>
      </c>
      <c r="F255" s="159" t="s">
        <v>62</v>
      </c>
      <c r="G255" s="159" t="s">
        <v>40</v>
      </c>
      <c r="H255" s="229"/>
      <c r="I255" s="230"/>
      <c r="J255" s="165">
        <v>2.5499999999999998</v>
      </c>
      <c r="K255" s="166">
        <f t="shared" si="31"/>
        <v>2.6779999999999999</v>
      </c>
      <c r="L255" s="166">
        <f t="shared" si="32"/>
        <v>3.06</v>
      </c>
      <c r="M255" s="215"/>
      <c r="N255"/>
      <c r="O255"/>
      <c r="P255"/>
    </row>
    <row r="256" spans="1:42" s="6" customFormat="1" ht="26.1" customHeight="1">
      <c r="A256" s="226"/>
      <c r="B256" s="227"/>
      <c r="C256" s="228"/>
      <c r="D256" s="229"/>
      <c r="E256" s="159" t="s">
        <v>106</v>
      </c>
      <c r="F256" s="159" t="s">
        <v>78</v>
      </c>
      <c r="G256" s="159" t="s">
        <v>40</v>
      </c>
      <c r="H256" s="229"/>
      <c r="I256" s="230"/>
      <c r="J256" s="165">
        <v>2.8</v>
      </c>
      <c r="K256" s="166">
        <f t="shared" si="31"/>
        <v>2.94</v>
      </c>
      <c r="L256" s="166">
        <f t="shared" si="32"/>
        <v>3.36</v>
      </c>
      <c r="M256" s="215"/>
      <c r="N256"/>
      <c r="O256"/>
      <c r="P256"/>
    </row>
    <row r="257" spans="1:42" s="6" customFormat="1" ht="26.1" customHeight="1">
      <c r="A257" s="223">
        <v>188</v>
      </c>
      <c r="B257" s="231" t="s">
        <v>53</v>
      </c>
      <c r="C257" s="220">
        <v>6660</v>
      </c>
      <c r="D257" s="220" t="s">
        <v>61</v>
      </c>
      <c r="E257" s="61" t="s">
        <v>106</v>
      </c>
      <c r="F257" s="61" t="s">
        <v>62</v>
      </c>
      <c r="G257" s="61" t="s">
        <v>40</v>
      </c>
      <c r="H257" s="220">
        <v>100</v>
      </c>
      <c r="I257" s="225">
        <v>5</v>
      </c>
      <c r="J257" s="102">
        <v>2.25</v>
      </c>
      <c r="K257" s="103">
        <f t="shared" si="31"/>
        <v>2.363</v>
      </c>
      <c r="L257" s="103">
        <f t="shared" si="32"/>
        <v>2.7</v>
      </c>
      <c r="M257" s="215"/>
      <c r="N257"/>
      <c r="O257"/>
      <c r="P257"/>
    </row>
    <row r="258" spans="1:42" s="6" customFormat="1" ht="26.1" customHeight="1">
      <c r="A258" s="223"/>
      <c r="B258" s="231"/>
      <c r="C258" s="220"/>
      <c r="D258" s="220"/>
      <c r="E258" s="61" t="s">
        <v>106</v>
      </c>
      <c r="F258" s="61" t="s">
        <v>78</v>
      </c>
      <c r="G258" s="61" t="s">
        <v>40</v>
      </c>
      <c r="H258" s="220"/>
      <c r="I258" s="225"/>
      <c r="J258" s="102">
        <v>2.75</v>
      </c>
      <c r="K258" s="103">
        <f t="shared" si="31"/>
        <v>2.8879999999999999</v>
      </c>
      <c r="L258" s="103">
        <f t="shared" si="32"/>
        <v>3.3</v>
      </c>
      <c r="M258" s="215"/>
      <c r="N258"/>
      <c r="O258"/>
      <c r="P258"/>
    </row>
    <row r="259" spans="1:42" s="6" customFormat="1" ht="26.1" customHeight="1">
      <c r="A259" s="156">
        <v>188</v>
      </c>
      <c r="B259" s="157" t="s">
        <v>53</v>
      </c>
      <c r="C259" s="158">
        <v>6661</v>
      </c>
      <c r="D259" s="159" t="s">
        <v>85</v>
      </c>
      <c r="E259" s="159" t="s">
        <v>41</v>
      </c>
      <c r="F259" s="159" t="s">
        <v>62</v>
      </c>
      <c r="G259" s="159" t="s">
        <v>101</v>
      </c>
      <c r="H259" s="159">
        <v>100</v>
      </c>
      <c r="I259" s="160">
        <v>5</v>
      </c>
      <c r="J259" s="165">
        <v>2.25</v>
      </c>
      <c r="K259" s="166">
        <f t="shared" si="31"/>
        <v>2.363</v>
      </c>
      <c r="L259" s="166">
        <f t="shared" si="32"/>
        <v>2.7</v>
      </c>
      <c r="M259" s="215"/>
      <c r="N259"/>
      <c r="O259"/>
      <c r="P259"/>
    </row>
    <row r="260" spans="1:42" s="6" customFormat="1" ht="26.1" customHeight="1">
      <c r="A260" s="223">
        <v>188</v>
      </c>
      <c r="B260" s="239" t="s">
        <v>53</v>
      </c>
      <c r="C260" s="240">
        <v>6532</v>
      </c>
      <c r="D260" s="220" t="s">
        <v>48</v>
      </c>
      <c r="E260" s="61" t="s">
        <v>41</v>
      </c>
      <c r="F260" s="61" t="s">
        <v>62</v>
      </c>
      <c r="G260" s="61" t="s">
        <v>44</v>
      </c>
      <c r="H260" s="220">
        <v>50</v>
      </c>
      <c r="I260" s="225">
        <v>5</v>
      </c>
      <c r="J260" s="102">
        <v>3.15</v>
      </c>
      <c r="K260" s="103">
        <f t="shared" si="31"/>
        <v>3.3079999999999998</v>
      </c>
      <c r="L260" s="103">
        <f t="shared" si="32"/>
        <v>3.78</v>
      </c>
      <c r="M260" s="215"/>
      <c r="N260"/>
      <c r="O260"/>
      <c r="P260"/>
    </row>
    <row r="261" spans="1:42" s="6" customFormat="1" ht="26.1" customHeight="1">
      <c r="A261" s="223"/>
      <c r="B261" s="239"/>
      <c r="C261" s="240"/>
      <c r="D261" s="220"/>
      <c r="E261" s="61" t="s">
        <v>41</v>
      </c>
      <c r="F261" s="61" t="s">
        <v>78</v>
      </c>
      <c r="G261" s="61" t="s">
        <v>44</v>
      </c>
      <c r="H261" s="220"/>
      <c r="I261" s="225"/>
      <c r="J261" s="102">
        <v>3.54</v>
      </c>
      <c r="K261" s="103">
        <f t="shared" si="31"/>
        <v>3.7170000000000001</v>
      </c>
      <c r="L261" s="103">
        <f t="shared" si="32"/>
        <v>4.2480000000000002</v>
      </c>
      <c r="M261" s="215"/>
      <c r="N261"/>
      <c r="O261"/>
      <c r="P261"/>
      <c r="Q261"/>
      <c r="R261"/>
      <c r="S261"/>
      <c r="T261"/>
      <c r="U261"/>
      <c r="V261"/>
      <c r="W261"/>
      <c r="X261"/>
      <c r="Y261"/>
      <c r="Z261"/>
      <c r="AA261"/>
      <c r="AB261"/>
      <c r="AC261"/>
      <c r="AD261"/>
      <c r="AE261"/>
      <c r="AF261"/>
      <c r="AG261"/>
      <c r="AH261"/>
      <c r="AI261"/>
      <c r="AJ261"/>
      <c r="AK261"/>
      <c r="AL261"/>
      <c r="AM261"/>
      <c r="AN261"/>
      <c r="AO261"/>
      <c r="AP261"/>
    </row>
    <row r="262" spans="1:42" s="6" customFormat="1" ht="26.1" customHeight="1">
      <c r="A262" s="223"/>
      <c r="B262" s="239"/>
      <c r="C262" s="240"/>
      <c r="D262" s="220"/>
      <c r="E262" s="61" t="s">
        <v>41</v>
      </c>
      <c r="F262" s="61" t="s">
        <v>62</v>
      </c>
      <c r="G262" s="61" t="s">
        <v>40</v>
      </c>
      <c r="H262" s="220"/>
      <c r="I262" s="225"/>
      <c r="J262" s="102">
        <v>3.55</v>
      </c>
      <c r="K262" s="103">
        <f t="shared" si="31"/>
        <v>3.7279999999999998</v>
      </c>
      <c r="L262" s="103">
        <f t="shared" si="32"/>
        <v>4.26</v>
      </c>
      <c r="M262" s="215"/>
      <c r="N262"/>
      <c r="O262"/>
      <c r="P262"/>
      <c r="Q262"/>
      <c r="R262"/>
      <c r="S262"/>
      <c r="T262"/>
      <c r="U262"/>
      <c r="V262"/>
      <c r="W262"/>
      <c r="X262"/>
      <c r="Y262"/>
      <c r="Z262"/>
      <c r="AA262"/>
      <c r="AB262"/>
      <c r="AC262"/>
      <c r="AD262"/>
      <c r="AE262"/>
      <c r="AF262"/>
      <c r="AG262"/>
      <c r="AH262"/>
      <c r="AI262"/>
      <c r="AJ262"/>
      <c r="AK262"/>
      <c r="AL262"/>
      <c r="AM262"/>
      <c r="AN262"/>
      <c r="AO262"/>
      <c r="AP262"/>
    </row>
    <row r="263" spans="1:42" s="6" customFormat="1" ht="26.1" customHeight="1">
      <c r="A263" s="223"/>
      <c r="B263" s="239"/>
      <c r="C263" s="240"/>
      <c r="D263" s="220"/>
      <c r="E263" s="61" t="s">
        <v>41</v>
      </c>
      <c r="F263" s="61" t="s">
        <v>78</v>
      </c>
      <c r="G263" s="61" t="s">
        <v>40</v>
      </c>
      <c r="H263" s="220"/>
      <c r="I263" s="225"/>
      <c r="J263" s="102">
        <v>3.97</v>
      </c>
      <c r="K263" s="103">
        <f t="shared" si="31"/>
        <v>4.1690000000000005</v>
      </c>
      <c r="L263" s="103">
        <f t="shared" si="32"/>
        <v>4.7640000000000002</v>
      </c>
      <c r="M263" s="215"/>
      <c r="N263"/>
      <c r="O263"/>
      <c r="P263"/>
      <c r="Q263"/>
      <c r="R263"/>
      <c r="S263"/>
      <c r="T263"/>
      <c r="U263"/>
      <c r="V263"/>
      <c r="W263"/>
      <c r="X263"/>
      <c r="Y263"/>
      <c r="Z263"/>
      <c r="AA263"/>
      <c r="AB263"/>
      <c r="AC263"/>
      <c r="AD263"/>
      <c r="AE263"/>
      <c r="AF263"/>
      <c r="AG263"/>
      <c r="AH263"/>
      <c r="AI263"/>
      <c r="AJ263"/>
      <c r="AK263"/>
      <c r="AL263"/>
      <c r="AM263"/>
      <c r="AN263"/>
      <c r="AO263"/>
      <c r="AP263"/>
    </row>
    <row r="264" spans="1:42" s="6" customFormat="1" ht="26.1" customHeight="1">
      <c r="A264" s="226">
        <v>188</v>
      </c>
      <c r="B264" s="308" t="s">
        <v>53</v>
      </c>
      <c r="C264" s="309">
        <v>6646</v>
      </c>
      <c r="D264" s="229" t="s">
        <v>31</v>
      </c>
      <c r="E264" s="159" t="s">
        <v>41</v>
      </c>
      <c r="F264" s="159" t="s">
        <v>62</v>
      </c>
      <c r="G264" s="159" t="s">
        <v>44</v>
      </c>
      <c r="H264" s="229">
        <v>100</v>
      </c>
      <c r="I264" s="230">
        <v>5</v>
      </c>
      <c r="J264" s="165">
        <v>1.75</v>
      </c>
      <c r="K264" s="166">
        <f t="shared" si="31"/>
        <v>1.8379999999999999</v>
      </c>
      <c r="L264" s="166">
        <f t="shared" si="32"/>
        <v>2.1</v>
      </c>
      <c r="M264" s="215"/>
      <c r="N264"/>
      <c r="O264"/>
      <c r="P264"/>
      <c r="Q264"/>
      <c r="R264"/>
      <c r="S264"/>
      <c r="T264"/>
      <c r="U264"/>
      <c r="V264"/>
      <c r="W264"/>
      <c r="X264"/>
      <c r="Y264"/>
      <c r="Z264"/>
      <c r="AA264"/>
      <c r="AB264"/>
      <c r="AC264"/>
      <c r="AD264"/>
      <c r="AE264"/>
      <c r="AF264"/>
      <c r="AG264"/>
      <c r="AH264"/>
      <c r="AI264"/>
      <c r="AJ264"/>
      <c r="AK264"/>
      <c r="AL264"/>
      <c r="AM264"/>
      <c r="AN264"/>
      <c r="AO264"/>
      <c r="AP264"/>
    </row>
    <row r="265" spans="1:42" s="6" customFormat="1" ht="26.1" customHeight="1">
      <c r="A265" s="226"/>
      <c r="B265" s="308"/>
      <c r="C265" s="309"/>
      <c r="D265" s="229"/>
      <c r="E265" s="159" t="s">
        <v>41</v>
      </c>
      <c r="F265" s="159" t="s">
        <v>78</v>
      </c>
      <c r="G265" s="159" t="s">
        <v>44</v>
      </c>
      <c r="H265" s="229"/>
      <c r="I265" s="230"/>
      <c r="J265" s="165">
        <v>2.2000000000000002</v>
      </c>
      <c r="K265" s="166">
        <f t="shared" si="31"/>
        <v>2.31</v>
      </c>
      <c r="L265" s="166">
        <f>IF(I265=1,"-",IF(AND(I265="",L264="-"),"-",ROUNDUP((J265*0.2)+J265,3)))</f>
        <v>2.64</v>
      </c>
      <c r="M265" s="215"/>
      <c r="N265"/>
      <c r="O265"/>
      <c r="P265"/>
    </row>
    <row r="266" spans="1:42" s="6" customFormat="1" ht="26.1" customHeight="1">
      <c r="A266" s="226"/>
      <c r="B266" s="308"/>
      <c r="C266" s="309"/>
      <c r="D266" s="229"/>
      <c r="E266" s="159" t="s">
        <v>41</v>
      </c>
      <c r="F266" s="159" t="s">
        <v>62</v>
      </c>
      <c r="G266" s="159" t="s">
        <v>40</v>
      </c>
      <c r="H266" s="229"/>
      <c r="I266" s="230"/>
      <c r="J266" s="165">
        <v>1.95</v>
      </c>
      <c r="K266" s="166">
        <f t="shared" si="31"/>
        <v>2.048</v>
      </c>
      <c r="L266" s="166">
        <f t="shared" ref="L266:L277" si="35">IF(I266=1,"-",IF(AND(I266="",L265="-"),"-",ROUNDUP((J266*0.2)+J266,3)))</f>
        <v>2.34</v>
      </c>
      <c r="M266" s="215"/>
      <c r="N266"/>
      <c r="O266"/>
      <c r="P266"/>
    </row>
    <row r="267" spans="1:42" s="6" customFormat="1" ht="26.1" customHeight="1">
      <c r="A267" s="226"/>
      <c r="B267" s="308"/>
      <c r="C267" s="309"/>
      <c r="D267" s="229"/>
      <c r="E267" s="159" t="s">
        <v>41</v>
      </c>
      <c r="F267" s="159" t="s">
        <v>78</v>
      </c>
      <c r="G267" s="159" t="s">
        <v>40</v>
      </c>
      <c r="H267" s="229"/>
      <c r="I267" s="230"/>
      <c r="J267" s="165">
        <v>2.4</v>
      </c>
      <c r="K267" s="166">
        <f t="shared" ref="K267:K356" si="36">IF(I267=1,(ROUNDUP((J267*0.05+J267),3)),ROUNDUP((J267*0.05+J267),3))</f>
        <v>2.52</v>
      </c>
      <c r="L267" s="166">
        <f t="shared" si="35"/>
        <v>2.88</v>
      </c>
      <c r="M267" s="215"/>
      <c r="N267"/>
      <c r="O267"/>
      <c r="P267"/>
    </row>
    <row r="268" spans="1:42" s="6" customFormat="1" ht="21.75" customHeight="1">
      <c r="A268" s="63">
        <v>189</v>
      </c>
      <c r="B268" s="64" t="s">
        <v>53</v>
      </c>
      <c r="C268" s="161">
        <v>6691</v>
      </c>
      <c r="D268" s="61" t="s">
        <v>100</v>
      </c>
      <c r="E268" s="61" t="s">
        <v>106</v>
      </c>
      <c r="F268" s="61" t="s">
        <v>62</v>
      </c>
      <c r="G268" s="61" t="s">
        <v>40</v>
      </c>
      <c r="H268" s="61">
        <v>50</v>
      </c>
      <c r="I268" s="83">
        <v>1</v>
      </c>
      <c r="J268" s="102">
        <v>4.95</v>
      </c>
      <c r="K268" s="103">
        <f t="shared" si="36"/>
        <v>5.1980000000000004</v>
      </c>
      <c r="L268" s="103" t="str">
        <f t="shared" si="35"/>
        <v>-</v>
      </c>
      <c r="M268" s="215"/>
      <c r="N268"/>
      <c r="O268"/>
      <c r="P268"/>
      <c r="Q268"/>
      <c r="R268"/>
      <c r="S268"/>
      <c r="T268"/>
      <c r="U268"/>
      <c r="V268"/>
      <c r="W268"/>
      <c r="X268"/>
      <c r="Y268"/>
      <c r="Z268"/>
      <c r="AA268"/>
      <c r="AB268"/>
      <c r="AC268"/>
      <c r="AD268"/>
      <c r="AE268"/>
      <c r="AF268"/>
      <c r="AG268"/>
      <c r="AH268"/>
      <c r="AI268"/>
      <c r="AJ268"/>
      <c r="AK268"/>
      <c r="AL268"/>
      <c r="AM268"/>
      <c r="AN268"/>
      <c r="AO268"/>
      <c r="AP268"/>
    </row>
    <row r="269" spans="1:42" ht="24.95" customHeight="1">
      <c r="A269" s="156">
        <v>189</v>
      </c>
      <c r="B269" s="157" t="s">
        <v>53</v>
      </c>
      <c r="C269" s="158">
        <v>6689</v>
      </c>
      <c r="D269" s="159" t="s">
        <v>99</v>
      </c>
      <c r="E269" s="159" t="s">
        <v>106</v>
      </c>
      <c r="F269" s="159" t="s">
        <v>62</v>
      </c>
      <c r="G269" s="159" t="s">
        <v>40</v>
      </c>
      <c r="H269" s="159">
        <v>50</v>
      </c>
      <c r="I269" s="160">
        <v>1</v>
      </c>
      <c r="J269" s="165">
        <v>4.95</v>
      </c>
      <c r="K269" s="166">
        <f t="shared" si="36"/>
        <v>5.1980000000000004</v>
      </c>
      <c r="L269" s="166" t="str">
        <f t="shared" si="35"/>
        <v>-</v>
      </c>
      <c r="M269" s="215"/>
    </row>
    <row r="270" spans="1:42" s="6" customFormat="1" ht="26.1" customHeight="1">
      <c r="A270" s="223">
        <v>190</v>
      </c>
      <c r="B270" s="275" t="s">
        <v>53</v>
      </c>
      <c r="C270" s="240" t="s">
        <v>168</v>
      </c>
      <c r="D270" s="220" t="s">
        <v>169</v>
      </c>
      <c r="E270" s="61" t="s">
        <v>39</v>
      </c>
      <c r="F270" s="61" t="s">
        <v>62</v>
      </c>
      <c r="G270" s="61" t="s">
        <v>84</v>
      </c>
      <c r="H270" s="220">
        <v>50</v>
      </c>
      <c r="I270" s="225">
        <v>1</v>
      </c>
      <c r="J270" s="102">
        <v>2.2000000000000002</v>
      </c>
      <c r="K270" s="103">
        <f t="shared" ref="K270:K275" si="37">IF(I270=1,(ROUNDUP((J270*0.05+J270),3)),ROUNDUP((J270*0.05+J270),3))</f>
        <v>2.31</v>
      </c>
      <c r="L270" s="103" t="str">
        <f>IF(I270=1,"-",IF(AND(I270="",L275="-"),"-",ROUNDUP((J270*0.2)+J270,3)))</f>
        <v>-</v>
      </c>
      <c r="M270" s="215"/>
      <c r="N270"/>
      <c r="O270"/>
      <c r="P270"/>
      <c r="Q270"/>
      <c r="R270"/>
      <c r="S270"/>
      <c r="T270"/>
      <c r="U270"/>
      <c r="V270"/>
      <c r="W270"/>
      <c r="X270"/>
      <c r="Y270"/>
      <c r="Z270"/>
      <c r="AA270"/>
      <c r="AB270"/>
      <c r="AC270"/>
      <c r="AD270"/>
      <c r="AE270"/>
      <c r="AF270"/>
      <c r="AG270"/>
      <c r="AH270"/>
      <c r="AI270"/>
      <c r="AJ270"/>
      <c r="AK270"/>
      <c r="AL270"/>
      <c r="AM270"/>
      <c r="AN270"/>
      <c r="AO270"/>
      <c r="AP270"/>
    </row>
    <row r="271" spans="1:42" ht="26.1" customHeight="1">
      <c r="A271" s="223"/>
      <c r="B271" s="275"/>
      <c r="C271" s="240"/>
      <c r="D271" s="220"/>
      <c r="E271" s="61" t="s">
        <v>39</v>
      </c>
      <c r="F271" s="61" t="s">
        <v>78</v>
      </c>
      <c r="G271" s="61" t="s">
        <v>84</v>
      </c>
      <c r="H271" s="220"/>
      <c r="I271" s="225"/>
      <c r="J271" s="102">
        <v>2.4</v>
      </c>
      <c r="K271" s="103">
        <f t="shared" si="37"/>
        <v>2.52</v>
      </c>
      <c r="L271" s="103" t="str">
        <f>IF(I271=1,"-",IF(AND(I271="",L270="-"),"-",ROUNDUP((J271*0.2)+J271,3)))</f>
        <v>-</v>
      </c>
      <c r="M271" s="215"/>
    </row>
    <row r="272" spans="1:42" ht="26.1" customHeight="1">
      <c r="A272" s="156">
        <v>190</v>
      </c>
      <c r="B272" s="180" t="s">
        <v>53</v>
      </c>
      <c r="C272" s="162" t="s">
        <v>301</v>
      </c>
      <c r="D272" s="159" t="s">
        <v>172</v>
      </c>
      <c r="E272" s="159" t="s">
        <v>41</v>
      </c>
      <c r="F272" s="159" t="s">
        <v>62</v>
      </c>
      <c r="G272" s="159" t="s">
        <v>84</v>
      </c>
      <c r="H272" s="159">
        <v>50</v>
      </c>
      <c r="I272" s="160">
        <v>1</v>
      </c>
      <c r="J272" s="165">
        <v>2.2000000000000002</v>
      </c>
      <c r="K272" s="166">
        <f t="shared" si="37"/>
        <v>2.31</v>
      </c>
      <c r="L272" s="166" t="str">
        <f>IF(I272=1,"-",IF(AND(I272="",L271="-"),"-",ROUNDUP((J272*0.2)+J272,3)))</f>
        <v>-</v>
      </c>
      <c r="M272" s="215"/>
    </row>
    <row r="273" spans="1:42" s="6" customFormat="1" ht="26.1" customHeight="1">
      <c r="A273" s="306">
        <v>190</v>
      </c>
      <c r="B273" s="222" t="s">
        <v>53</v>
      </c>
      <c r="C273" s="307" t="s">
        <v>116</v>
      </c>
      <c r="D273" s="220" t="s">
        <v>117</v>
      </c>
      <c r="E273" s="61" t="s">
        <v>106</v>
      </c>
      <c r="F273" s="61" t="s">
        <v>62</v>
      </c>
      <c r="G273" s="61" t="s">
        <v>84</v>
      </c>
      <c r="H273" s="220">
        <v>50</v>
      </c>
      <c r="I273" s="225">
        <v>5</v>
      </c>
      <c r="J273" s="102">
        <v>1.75</v>
      </c>
      <c r="K273" s="103">
        <f t="shared" si="37"/>
        <v>1.8379999999999999</v>
      </c>
      <c r="L273" s="103">
        <f>IF(I273=1,"-",IF(AND(I273="",L279="-"),"-",ROUNDUP((J273*0.2)+J273,3)))</f>
        <v>2.1</v>
      </c>
      <c r="M273" s="215"/>
      <c r="N273"/>
      <c r="O273"/>
      <c r="P273"/>
    </row>
    <row r="274" spans="1:42" s="6" customFormat="1" ht="26.1" customHeight="1">
      <c r="A274" s="306"/>
      <c r="B274" s="222"/>
      <c r="C274" s="307"/>
      <c r="D274" s="220"/>
      <c r="E274" s="61" t="s">
        <v>106</v>
      </c>
      <c r="F274" s="61" t="s">
        <v>78</v>
      </c>
      <c r="G274" s="61" t="s">
        <v>84</v>
      </c>
      <c r="H274" s="220"/>
      <c r="I274" s="225"/>
      <c r="J274" s="102">
        <v>1.95</v>
      </c>
      <c r="K274" s="103">
        <f t="shared" si="37"/>
        <v>2.048</v>
      </c>
      <c r="L274" s="103">
        <f>IF(I274=1,"-",IF(AND(I274="",L273="-"),"-",ROUNDUP((J274*0.2)+J274,3)))</f>
        <v>2.34</v>
      </c>
      <c r="M274" s="215"/>
      <c r="N274"/>
      <c r="O274"/>
      <c r="P274"/>
    </row>
    <row r="275" spans="1:42" s="6" customFormat="1" ht="26.1" customHeight="1">
      <c r="A275" s="156">
        <v>190</v>
      </c>
      <c r="B275" s="157" t="s">
        <v>53</v>
      </c>
      <c r="C275" s="158" t="s">
        <v>114</v>
      </c>
      <c r="D275" s="159" t="s">
        <v>115</v>
      </c>
      <c r="E275" s="159" t="s">
        <v>41</v>
      </c>
      <c r="F275" s="159" t="s">
        <v>62</v>
      </c>
      <c r="G275" s="159" t="s">
        <v>84</v>
      </c>
      <c r="H275" s="159">
        <v>50</v>
      </c>
      <c r="I275" s="160">
        <v>5</v>
      </c>
      <c r="J275" s="165">
        <v>1.75</v>
      </c>
      <c r="K275" s="166">
        <f t="shared" si="37"/>
        <v>1.8379999999999999</v>
      </c>
      <c r="L275" s="166">
        <f>IF(I275=1,"-",IF(AND(I275="",L274="-"),"-",ROUNDUP((J275*0.2)+J275,3)))</f>
        <v>2.1</v>
      </c>
      <c r="M275" s="215"/>
      <c r="N275"/>
      <c r="O275"/>
      <c r="P275"/>
    </row>
    <row r="276" spans="1:42" ht="26.1" customHeight="1">
      <c r="A276" s="223">
        <v>191</v>
      </c>
      <c r="B276" s="239" t="s">
        <v>53</v>
      </c>
      <c r="C276" s="240" t="s">
        <v>90</v>
      </c>
      <c r="D276" s="220" t="s">
        <v>93</v>
      </c>
      <c r="E276" s="61" t="s">
        <v>107</v>
      </c>
      <c r="F276" s="61" t="s">
        <v>62</v>
      </c>
      <c r="G276" s="61" t="s">
        <v>84</v>
      </c>
      <c r="H276" s="220">
        <v>50</v>
      </c>
      <c r="I276" s="225">
        <v>5</v>
      </c>
      <c r="J276" s="102">
        <v>1.3</v>
      </c>
      <c r="K276" s="103">
        <f t="shared" si="36"/>
        <v>1.365</v>
      </c>
      <c r="L276" s="103">
        <f>IF(I276=1,"-",IF(AND(I276="",L269="-"),"-",ROUNDUP((J276*0.2)+J276,3)))</f>
        <v>1.56</v>
      </c>
      <c r="M276" s="215"/>
    </row>
    <row r="277" spans="1:42" ht="26.1" customHeight="1">
      <c r="A277" s="223"/>
      <c r="B277" s="239"/>
      <c r="C277" s="240"/>
      <c r="D277" s="220"/>
      <c r="E277" s="61" t="s">
        <v>107</v>
      </c>
      <c r="F277" s="61" t="s">
        <v>78</v>
      </c>
      <c r="G277" s="61" t="s">
        <v>84</v>
      </c>
      <c r="H277" s="220"/>
      <c r="I277" s="225"/>
      <c r="J277" s="102">
        <v>1.6</v>
      </c>
      <c r="K277" s="103">
        <f t="shared" si="36"/>
        <v>1.68</v>
      </c>
      <c r="L277" s="103">
        <f t="shared" si="35"/>
        <v>1.92</v>
      </c>
      <c r="M277" s="215"/>
    </row>
    <row r="278" spans="1:42" s="6" customFormat="1" ht="26.1" customHeight="1">
      <c r="A278" s="223"/>
      <c r="B278" s="239"/>
      <c r="C278" s="240"/>
      <c r="D278" s="220"/>
      <c r="E278" s="61" t="s">
        <v>107</v>
      </c>
      <c r="F278" s="61" t="s">
        <v>79</v>
      </c>
      <c r="G278" s="61" t="s">
        <v>84</v>
      </c>
      <c r="H278" s="220"/>
      <c r="I278" s="225"/>
      <c r="J278" s="102">
        <v>1.75</v>
      </c>
      <c r="K278" s="103">
        <f t="shared" si="36"/>
        <v>1.8379999999999999</v>
      </c>
      <c r="L278" s="103">
        <f t="shared" ref="L278:L356" si="38">IF(I278=1,"-",IF(AND(I278="",L277="-"),"-",ROUNDUP((J278*0.2)+J278,3)))</f>
        <v>2.1</v>
      </c>
      <c r="M278" s="215"/>
      <c r="N278"/>
      <c r="O278"/>
      <c r="P278"/>
    </row>
    <row r="279" spans="1:42" s="6" customFormat="1" ht="26.1" customHeight="1">
      <c r="A279" s="156">
        <v>191</v>
      </c>
      <c r="B279" s="157" t="s">
        <v>53</v>
      </c>
      <c r="C279" s="158" t="s">
        <v>91</v>
      </c>
      <c r="D279" s="159" t="s">
        <v>92</v>
      </c>
      <c r="E279" s="159" t="s">
        <v>41</v>
      </c>
      <c r="F279" s="159" t="s">
        <v>62</v>
      </c>
      <c r="G279" s="159" t="s">
        <v>84</v>
      </c>
      <c r="H279" s="159">
        <v>50</v>
      </c>
      <c r="I279" s="160">
        <v>5</v>
      </c>
      <c r="J279" s="165">
        <v>1.3</v>
      </c>
      <c r="K279" s="166">
        <f t="shared" si="36"/>
        <v>1.365</v>
      </c>
      <c r="L279" s="166">
        <f t="shared" si="38"/>
        <v>1.56</v>
      </c>
      <c r="M279" s="215"/>
      <c r="N279"/>
      <c r="O279"/>
      <c r="P279"/>
    </row>
    <row r="280" spans="1:42" ht="26.1" customHeight="1">
      <c r="A280" s="223">
        <v>193</v>
      </c>
      <c r="B280" s="322" t="s">
        <v>53</v>
      </c>
      <c r="C280" s="221">
        <v>6617</v>
      </c>
      <c r="D280" s="220" t="s">
        <v>130</v>
      </c>
      <c r="E280" s="61" t="s">
        <v>39</v>
      </c>
      <c r="F280" s="61" t="s">
        <v>62</v>
      </c>
      <c r="G280" s="61" t="s">
        <v>296</v>
      </c>
      <c r="H280" s="220">
        <v>50</v>
      </c>
      <c r="I280" s="225">
        <v>5</v>
      </c>
      <c r="J280" s="102">
        <v>4.9000000000000004</v>
      </c>
      <c r="K280" s="103">
        <f t="shared" ref="K280:K298" si="39">IF(I280=1,(ROUNDUP((J280*0.05+J280),3)),ROUNDUP((J280*0.05+J280),3))</f>
        <v>5.1449999999999996</v>
      </c>
      <c r="L280" s="103">
        <f>IF(I280=1,"-",IF(AND(I280="",L354="-"),"-",ROUNDUP((J280*0.2)+J280,3)))</f>
        <v>5.88</v>
      </c>
      <c r="M280" s="215"/>
    </row>
    <row r="281" spans="1:42" s="6" customFormat="1" ht="26.1" customHeight="1">
      <c r="A281" s="223"/>
      <c r="B281" s="322"/>
      <c r="C281" s="221"/>
      <c r="D281" s="220"/>
      <c r="E281" s="61" t="s">
        <v>39</v>
      </c>
      <c r="F281" s="61" t="s">
        <v>78</v>
      </c>
      <c r="G281" s="61" t="s">
        <v>296</v>
      </c>
      <c r="H281" s="220"/>
      <c r="I281" s="225"/>
      <c r="J281" s="102">
        <v>5.9</v>
      </c>
      <c r="K281" s="103">
        <f t="shared" si="39"/>
        <v>6.1950000000000003</v>
      </c>
      <c r="L281" s="103">
        <f t="shared" ref="L281:L303" si="40">IF(I281=1,"-",IF(AND(I281="",L280="-"),"-",ROUNDUP((J281*0.2)+J281,3)))</f>
        <v>7.08</v>
      </c>
      <c r="M281" s="215"/>
      <c r="N281"/>
      <c r="O281"/>
      <c r="P281"/>
      <c r="Q281"/>
      <c r="R281"/>
      <c r="S281"/>
      <c r="T281"/>
      <c r="U281"/>
      <c r="V281"/>
      <c r="W281"/>
      <c r="X281"/>
      <c r="Y281"/>
      <c r="Z281"/>
      <c r="AA281"/>
      <c r="AB281"/>
      <c r="AC281"/>
      <c r="AD281"/>
      <c r="AE281"/>
      <c r="AF281"/>
      <c r="AG281"/>
      <c r="AH281"/>
      <c r="AI281"/>
      <c r="AJ281"/>
      <c r="AK281"/>
      <c r="AL281"/>
      <c r="AM281"/>
      <c r="AN281"/>
      <c r="AO281"/>
      <c r="AP281"/>
    </row>
    <row r="282" spans="1:42" s="6" customFormat="1" ht="26.1" customHeight="1">
      <c r="A282" s="223"/>
      <c r="B282" s="322"/>
      <c r="C282" s="221"/>
      <c r="D282" s="220"/>
      <c r="E282" s="61" t="s">
        <v>39</v>
      </c>
      <c r="F282" s="61" t="s">
        <v>62</v>
      </c>
      <c r="G282" s="61" t="s">
        <v>40</v>
      </c>
      <c r="H282" s="220"/>
      <c r="I282" s="225"/>
      <c r="J282" s="102">
        <v>6.15</v>
      </c>
      <c r="K282" s="103">
        <f t="shared" si="39"/>
        <v>6.4580000000000002</v>
      </c>
      <c r="L282" s="103">
        <f t="shared" si="40"/>
        <v>7.38</v>
      </c>
      <c r="M282" s="215"/>
      <c r="N282"/>
      <c r="O282"/>
      <c r="P282"/>
    </row>
    <row r="283" spans="1:42" s="6" customFormat="1" ht="26.1" customHeight="1">
      <c r="A283" s="223"/>
      <c r="B283" s="322"/>
      <c r="C283" s="221"/>
      <c r="D283" s="220"/>
      <c r="E283" s="61" t="s">
        <v>39</v>
      </c>
      <c r="F283" s="61" t="s">
        <v>78</v>
      </c>
      <c r="G283" s="61" t="s">
        <v>40</v>
      </c>
      <c r="H283" s="220"/>
      <c r="I283" s="225"/>
      <c r="J283" s="102">
        <v>6.9</v>
      </c>
      <c r="K283" s="103">
        <f t="shared" si="39"/>
        <v>7.2450000000000001</v>
      </c>
      <c r="L283" s="103">
        <f t="shared" si="40"/>
        <v>8.2799999999999994</v>
      </c>
      <c r="M283" s="215"/>
      <c r="N283"/>
      <c r="O283"/>
      <c r="P283"/>
    </row>
    <row r="284" spans="1:42" s="6" customFormat="1" ht="26.1" customHeight="1">
      <c r="A284" s="226">
        <v>193</v>
      </c>
      <c r="B284" s="327" t="s">
        <v>53</v>
      </c>
      <c r="C284" s="228">
        <v>6618</v>
      </c>
      <c r="D284" s="229" t="s">
        <v>131</v>
      </c>
      <c r="E284" s="159" t="s">
        <v>41</v>
      </c>
      <c r="F284" s="159" t="s">
        <v>62</v>
      </c>
      <c r="G284" s="159" t="s">
        <v>296</v>
      </c>
      <c r="H284" s="229">
        <v>50</v>
      </c>
      <c r="I284" s="230">
        <v>5</v>
      </c>
      <c r="J284" s="165">
        <v>4.9000000000000004</v>
      </c>
      <c r="K284" s="166">
        <f t="shared" si="39"/>
        <v>5.1449999999999996</v>
      </c>
      <c r="L284" s="166">
        <f t="shared" si="40"/>
        <v>5.88</v>
      </c>
      <c r="M284" s="215"/>
      <c r="N284"/>
      <c r="O284"/>
      <c r="P284"/>
    </row>
    <row r="285" spans="1:42" ht="26.1" customHeight="1">
      <c r="A285" s="226"/>
      <c r="B285" s="327"/>
      <c r="C285" s="228"/>
      <c r="D285" s="229"/>
      <c r="E285" s="159" t="s">
        <v>41</v>
      </c>
      <c r="F285" s="159" t="s">
        <v>78</v>
      </c>
      <c r="G285" s="159" t="s">
        <v>296</v>
      </c>
      <c r="H285" s="229"/>
      <c r="I285" s="230"/>
      <c r="J285" s="165">
        <v>5.9</v>
      </c>
      <c r="K285" s="166">
        <f t="shared" si="39"/>
        <v>6.1950000000000003</v>
      </c>
      <c r="L285" s="166">
        <f t="shared" si="40"/>
        <v>7.08</v>
      </c>
      <c r="M285" s="215"/>
    </row>
    <row r="286" spans="1:42" ht="26.1" customHeight="1">
      <c r="A286" s="226"/>
      <c r="B286" s="327"/>
      <c r="C286" s="228"/>
      <c r="D286" s="229"/>
      <c r="E286" s="159" t="s">
        <v>41</v>
      </c>
      <c r="F286" s="159" t="s">
        <v>62</v>
      </c>
      <c r="G286" s="159" t="s">
        <v>40</v>
      </c>
      <c r="H286" s="229"/>
      <c r="I286" s="230"/>
      <c r="J286" s="165">
        <v>6.15</v>
      </c>
      <c r="K286" s="166">
        <f t="shared" si="39"/>
        <v>6.4580000000000002</v>
      </c>
      <c r="L286" s="166">
        <f t="shared" si="40"/>
        <v>7.38</v>
      </c>
      <c r="M286" s="215"/>
    </row>
    <row r="287" spans="1:42" s="6" customFormat="1" ht="26.1" customHeight="1">
      <c r="A287" s="226"/>
      <c r="B287" s="327"/>
      <c r="C287" s="228"/>
      <c r="D287" s="229"/>
      <c r="E287" s="159" t="s">
        <v>41</v>
      </c>
      <c r="F287" s="159" t="s">
        <v>78</v>
      </c>
      <c r="G287" s="159" t="s">
        <v>40</v>
      </c>
      <c r="H287" s="229"/>
      <c r="I287" s="230"/>
      <c r="J287" s="165">
        <v>6.9</v>
      </c>
      <c r="K287" s="166">
        <f t="shared" si="39"/>
        <v>7.2450000000000001</v>
      </c>
      <c r="L287" s="166">
        <f t="shared" si="40"/>
        <v>8.2799999999999994</v>
      </c>
      <c r="M287" s="215"/>
      <c r="N287"/>
      <c r="O287"/>
      <c r="P287"/>
      <c r="Q287"/>
      <c r="R287"/>
      <c r="S287"/>
      <c r="T287"/>
      <c r="U287"/>
      <c r="V287"/>
      <c r="W287"/>
      <c r="X287"/>
      <c r="Y287"/>
      <c r="Z287"/>
      <c r="AA287"/>
      <c r="AB287"/>
      <c r="AC287"/>
      <c r="AD287"/>
      <c r="AE287"/>
      <c r="AF287"/>
      <c r="AG287"/>
      <c r="AH287"/>
      <c r="AI287"/>
      <c r="AJ287"/>
      <c r="AK287"/>
      <c r="AL287"/>
      <c r="AM287"/>
      <c r="AN287"/>
      <c r="AO287"/>
      <c r="AP287"/>
    </row>
    <row r="288" spans="1:42" s="6" customFormat="1" ht="26.1" customHeight="1">
      <c r="A288" s="223">
        <v>194</v>
      </c>
      <c r="B288" s="222" t="s">
        <v>53</v>
      </c>
      <c r="C288" s="221">
        <v>6609</v>
      </c>
      <c r="D288" s="220" t="s">
        <v>118</v>
      </c>
      <c r="E288" s="61" t="s">
        <v>39</v>
      </c>
      <c r="F288" s="61" t="s">
        <v>62</v>
      </c>
      <c r="G288" s="61" t="s">
        <v>44</v>
      </c>
      <c r="H288" s="220">
        <v>50</v>
      </c>
      <c r="I288" s="290">
        <v>5</v>
      </c>
      <c r="J288" s="102">
        <v>3.75</v>
      </c>
      <c r="K288" s="103">
        <f t="shared" si="39"/>
        <v>3.9379999999999997</v>
      </c>
      <c r="L288" s="103">
        <f t="shared" si="40"/>
        <v>4.5</v>
      </c>
      <c r="M288" s="215"/>
      <c r="N288"/>
      <c r="O288"/>
      <c r="P288"/>
    </row>
    <row r="289" spans="1:42" s="6" customFormat="1" ht="26.1" customHeight="1">
      <c r="A289" s="223"/>
      <c r="B289" s="222"/>
      <c r="C289" s="221"/>
      <c r="D289" s="220"/>
      <c r="E289" s="61" t="s">
        <v>39</v>
      </c>
      <c r="F289" s="61" t="s">
        <v>78</v>
      </c>
      <c r="G289" s="61" t="s">
        <v>44</v>
      </c>
      <c r="H289" s="220"/>
      <c r="I289" s="290"/>
      <c r="J289" s="102">
        <v>4.8</v>
      </c>
      <c r="K289" s="103">
        <f t="shared" si="39"/>
        <v>5.04</v>
      </c>
      <c r="L289" s="103">
        <f t="shared" si="40"/>
        <v>5.76</v>
      </c>
      <c r="M289" s="215"/>
      <c r="N289"/>
      <c r="O289"/>
      <c r="P289"/>
    </row>
    <row r="290" spans="1:42" s="6" customFormat="1" ht="26.1" customHeight="1">
      <c r="A290" s="223"/>
      <c r="B290" s="222"/>
      <c r="C290" s="221"/>
      <c r="D290" s="220"/>
      <c r="E290" s="61" t="s">
        <v>39</v>
      </c>
      <c r="F290" s="61" t="s">
        <v>79</v>
      </c>
      <c r="G290" s="61" t="s">
        <v>44</v>
      </c>
      <c r="H290" s="220"/>
      <c r="I290" s="290"/>
      <c r="J290" s="102">
        <v>5.2</v>
      </c>
      <c r="K290" s="103">
        <f t="shared" si="39"/>
        <v>5.46</v>
      </c>
      <c r="L290" s="103">
        <f t="shared" si="40"/>
        <v>6.24</v>
      </c>
      <c r="M290" s="215"/>
      <c r="N290"/>
      <c r="O290"/>
      <c r="P290"/>
    </row>
    <row r="291" spans="1:42" s="6" customFormat="1" ht="26.1" customHeight="1">
      <c r="A291" s="223"/>
      <c r="B291" s="222"/>
      <c r="C291" s="221"/>
      <c r="D291" s="220"/>
      <c r="E291" s="61" t="s">
        <v>39</v>
      </c>
      <c r="F291" s="61" t="s">
        <v>86</v>
      </c>
      <c r="G291" s="61" t="s">
        <v>44</v>
      </c>
      <c r="H291" s="220"/>
      <c r="I291" s="290"/>
      <c r="J291" s="102">
        <v>5.95</v>
      </c>
      <c r="K291" s="103">
        <f t="shared" si="39"/>
        <v>6.2480000000000002</v>
      </c>
      <c r="L291" s="103">
        <f t="shared" si="40"/>
        <v>7.14</v>
      </c>
      <c r="M291" s="215"/>
      <c r="N291"/>
      <c r="O291"/>
      <c r="P291"/>
    </row>
    <row r="292" spans="1:42" s="6" customFormat="1" ht="26.1" customHeight="1">
      <c r="A292" s="223"/>
      <c r="B292" s="222"/>
      <c r="C292" s="221"/>
      <c r="D292" s="220"/>
      <c r="E292" s="61" t="s">
        <v>39</v>
      </c>
      <c r="F292" s="61" t="s">
        <v>62</v>
      </c>
      <c r="G292" s="61" t="s">
        <v>40</v>
      </c>
      <c r="H292" s="220"/>
      <c r="I292" s="290"/>
      <c r="J292" s="102">
        <v>4</v>
      </c>
      <c r="K292" s="103">
        <f t="shared" si="39"/>
        <v>4.2</v>
      </c>
      <c r="L292" s="103">
        <f t="shared" si="40"/>
        <v>4.8</v>
      </c>
      <c r="M292" s="215"/>
      <c r="N292"/>
      <c r="O292"/>
      <c r="P292"/>
    </row>
    <row r="293" spans="1:42" ht="26.1" customHeight="1">
      <c r="A293" s="223"/>
      <c r="B293" s="222"/>
      <c r="C293" s="221"/>
      <c r="D293" s="220"/>
      <c r="E293" s="61" t="s">
        <v>39</v>
      </c>
      <c r="F293" s="61" t="s">
        <v>78</v>
      </c>
      <c r="G293" s="61" t="s">
        <v>40</v>
      </c>
      <c r="H293" s="220"/>
      <c r="I293" s="290"/>
      <c r="J293" s="102">
        <v>5.3</v>
      </c>
      <c r="K293" s="103">
        <f t="shared" si="39"/>
        <v>5.5650000000000004</v>
      </c>
      <c r="L293" s="103">
        <f t="shared" si="40"/>
        <v>6.36</v>
      </c>
      <c r="M293" s="215"/>
    </row>
    <row r="294" spans="1:42" ht="26.1" customHeight="1">
      <c r="A294" s="223"/>
      <c r="B294" s="222"/>
      <c r="C294" s="221"/>
      <c r="D294" s="220"/>
      <c r="E294" s="61" t="s">
        <v>39</v>
      </c>
      <c r="F294" s="61" t="s">
        <v>79</v>
      </c>
      <c r="G294" s="61" t="s">
        <v>40</v>
      </c>
      <c r="H294" s="220"/>
      <c r="I294" s="290"/>
      <c r="J294" s="102">
        <v>5.65</v>
      </c>
      <c r="K294" s="103">
        <f t="shared" si="39"/>
        <v>5.9330000000000007</v>
      </c>
      <c r="L294" s="103">
        <f t="shared" si="40"/>
        <v>6.78</v>
      </c>
      <c r="M294" s="215"/>
    </row>
    <row r="295" spans="1:42" s="6" customFormat="1" ht="26.1" customHeight="1">
      <c r="A295" s="223"/>
      <c r="B295" s="222"/>
      <c r="C295" s="221"/>
      <c r="D295" s="220"/>
      <c r="E295" s="61" t="s">
        <v>39</v>
      </c>
      <c r="F295" s="61" t="s">
        <v>86</v>
      </c>
      <c r="G295" s="61" t="s">
        <v>40</v>
      </c>
      <c r="H295" s="220"/>
      <c r="I295" s="290"/>
      <c r="J295" s="102">
        <v>6.2</v>
      </c>
      <c r="K295" s="103">
        <f t="shared" si="39"/>
        <v>6.51</v>
      </c>
      <c r="L295" s="103">
        <f t="shared" si="40"/>
        <v>7.44</v>
      </c>
      <c r="M295" s="215"/>
      <c r="N295"/>
      <c r="O295"/>
      <c r="P295"/>
    </row>
    <row r="296" spans="1:42" s="6" customFormat="1" ht="26.1" customHeight="1">
      <c r="A296" s="320">
        <v>194</v>
      </c>
      <c r="B296" s="227" t="s">
        <v>53</v>
      </c>
      <c r="C296" s="321">
        <v>6644</v>
      </c>
      <c r="D296" s="229" t="s">
        <v>119</v>
      </c>
      <c r="E296" s="159" t="s">
        <v>41</v>
      </c>
      <c r="F296" s="159" t="s">
        <v>62</v>
      </c>
      <c r="G296" s="159" t="s">
        <v>44</v>
      </c>
      <c r="H296" s="229">
        <v>50</v>
      </c>
      <c r="I296" s="230">
        <v>5</v>
      </c>
      <c r="J296" s="165">
        <v>3.75</v>
      </c>
      <c r="K296" s="166">
        <f t="shared" si="39"/>
        <v>3.9379999999999997</v>
      </c>
      <c r="L296" s="166">
        <f t="shared" si="40"/>
        <v>4.5</v>
      </c>
      <c r="M296" s="215"/>
      <c r="N296"/>
      <c r="O296"/>
      <c r="P296"/>
    </row>
    <row r="297" spans="1:42" s="6" customFormat="1" ht="26.1" customHeight="1">
      <c r="A297" s="320"/>
      <c r="B297" s="227"/>
      <c r="C297" s="321"/>
      <c r="D297" s="229"/>
      <c r="E297" s="159" t="s">
        <v>41</v>
      </c>
      <c r="F297" s="159" t="s">
        <v>78</v>
      </c>
      <c r="G297" s="159" t="s">
        <v>44</v>
      </c>
      <c r="H297" s="229"/>
      <c r="I297" s="230"/>
      <c r="J297" s="165">
        <v>4.8</v>
      </c>
      <c r="K297" s="166">
        <f t="shared" si="39"/>
        <v>5.04</v>
      </c>
      <c r="L297" s="166">
        <f t="shared" si="40"/>
        <v>5.76</v>
      </c>
      <c r="M297" s="215"/>
      <c r="N297"/>
      <c r="O297"/>
      <c r="P297"/>
    </row>
    <row r="298" spans="1:42" s="6" customFormat="1" ht="26.1" customHeight="1">
      <c r="A298" s="320"/>
      <c r="B298" s="227"/>
      <c r="C298" s="321"/>
      <c r="D298" s="229"/>
      <c r="E298" s="159" t="s">
        <v>41</v>
      </c>
      <c r="F298" s="159" t="s">
        <v>62</v>
      </c>
      <c r="G298" s="159" t="s">
        <v>40</v>
      </c>
      <c r="H298" s="229"/>
      <c r="I298" s="230"/>
      <c r="J298" s="165">
        <v>4</v>
      </c>
      <c r="K298" s="166">
        <f t="shared" si="39"/>
        <v>4.2</v>
      </c>
      <c r="L298" s="166">
        <f t="shared" si="40"/>
        <v>4.8</v>
      </c>
      <c r="M298" s="215"/>
      <c r="N298"/>
      <c r="O298"/>
      <c r="P298"/>
    </row>
    <row r="299" spans="1:42" s="6" customFormat="1" ht="26.1" customHeight="1">
      <c r="A299" s="320"/>
      <c r="B299" s="227"/>
      <c r="C299" s="321"/>
      <c r="D299" s="229"/>
      <c r="E299" s="159" t="s">
        <v>41</v>
      </c>
      <c r="F299" s="159" t="s">
        <v>78</v>
      </c>
      <c r="G299" s="159" t="s">
        <v>40</v>
      </c>
      <c r="H299" s="229"/>
      <c r="I299" s="230"/>
      <c r="J299" s="165">
        <v>5.3</v>
      </c>
      <c r="K299" s="166">
        <f>IF(I298=1,(ROUNDUP((J299*0.05+J299),3)),ROUNDUP((J299*0.05+J299),3))</f>
        <v>5.5650000000000004</v>
      </c>
      <c r="L299" s="166">
        <f t="shared" si="40"/>
        <v>6.36</v>
      </c>
      <c r="M299" s="215"/>
      <c r="N299"/>
      <c r="O299"/>
      <c r="P299"/>
    </row>
    <row r="300" spans="1:42" s="6" customFormat="1" ht="26.1" customHeight="1">
      <c r="A300" s="223">
        <v>194</v>
      </c>
      <c r="B300" s="322" t="s">
        <v>53</v>
      </c>
      <c r="C300" s="221">
        <v>6607</v>
      </c>
      <c r="D300" s="220" t="s">
        <v>120</v>
      </c>
      <c r="E300" s="61" t="s">
        <v>39</v>
      </c>
      <c r="F300" s="61" t="s">
        <v>62</v>
      </c>
      <c r="G300" s="61" t="s">
        <v>44</v>
      </c>
      <c r="H300" s="220">
        <v>50</v>
      </c>
      <c r="I300" s="225">
        <v>5</v>
      </c>
      <c r="J300" s="102">
        <v>4.05</v>
      </c>
      <c r="K300" s="103">
        <f>IF(I299=1,(ROUNDUP((J300*0.05+J300),3)),ROUNDUP((J300*0.05+J300),3))</f>
        <v>4.2530000000000001</v>
      </c>
      <c r="L300" s="103">
        <f t="shared" si="40"/>
        <v>4.8600000000000003</v>
      </c>
      <c r="M300" s="215"/>
      <c r="N300"/>
      <c r="O300"/>
      <c r="P300"/>
    </row>
    <row r="301" spans="1:42" s="11" customFormat="1" ht="21.75" customHeight="1">
      <c r="A301" s="223"/>
      <c r="B301" s="322"/>
      <c r="C301" s="221"/>
      <c r="D301" s="220"/>
      <c r="E301" s="61" t="s">
        <v>39</v>
      </c>
      <c r="F301" s="61" t="s">
        <v>78</v>
      </c>
      <c r="G301" s="61" t="s">
        <v>44</v>
      </c>
      <c r="H301" s="220"/>
      <c r="I301" s="225"/>
      <c r="J301" s="102">
        <v>5.0999999999999996</v>
      </c>
      <c r="K301" s="103">
        <f>IF(I300=1,(ROUNDUP((J301*0.05+J301),3)),ROUNDUP((J301*0.05+J301),3))</f>
        <v>5.3550000000000004</v>
      </c>
      <c r="L301" s="103">
        <f t="shared" si="40"/>
        <v>6.12</v>
      </c>
      <c r="M301" s="215"/>
      <c r="N301"/>
      <c r="O301"/>
      <c r="P301"/>
      <c r="Q301"/>
      <c r="R301"/>
      <c r="S301"/>
      <c r="T301"/>
      <c r="U301"/>
      <c r="V301"/>
      <c r="W301"/>
      <c r="X301"/>
      <c r="Y301"/>
      <c r="Z301"/>
      <c r="AA301"/>
      <c r="AB301"/>
      <c r="AC301"/>
      <c r="AD301"/>
      <c r="AE301"/>
      <c r="AF301"/>
      <c r="AG301"/>
      <c r="AH301"/>
      <c r="AI301"/>
      <c r="AJ301"/>
      <c r="AK301"/>
      <c r="AL301"/>
      <c r="AM301"/>
      <c r="AN301"/>
      <c r="AO301"/>
      <c r="AP301"/>
    </row>
    <row r="302" spans="1:42" s="11" customFormat="1" ht="21.75" customHeight="1">
      <c r="A302" s="223"/>
      <c r="B302" s="322"/>
      <c r="C302" s="221"/>
      <c r="D302" s="220"/>
      <c r="E302" s="61" t="s">
        <v>39</v>
      </c>
      <c r="F302" s="61" t="s">
        <v>62</v>
      </c>
      <c r="G302" s="61" t="s">
        <v>40</v>
      </c>
      <c r="H302" s="220"/>
      <c r="I302" s="225"/>
      <c r="J302" s="102">
        <v>4.3</v>
      </c>
      <c r="K302" s="103">
        <f>IF(I301=1,(ROUNDUP((J302*0.05+J302),3)),ROUNDUP((J302*0.05+J302),3))</f>
        <v>4.5149999999999997</v>
      </c>
      <c r="L302" s="103">
        <f t="shared" si="40"/>
        <v>5.16</v>
      </c>
      <c r="M302" s="215"/>
      <c r="N302"/>
      <c r="O302"/>
      <c r="P302"/>
      <c r="Q302"/>
      <c r="R302"/>
      <c r="S302"/>
      <c r="T302"/>
      <c r="U302"/>
      <c r="V302"/>
      <c r="W302"/>
      <c r="X302"/>
      <c r="Y302"/>
      <c r="Z302"/>
      <c r="AA302"/>
      <c r="AB302"/>
      <c r="AC302"/>
      <c r="AD302"/>
      <c r="AE302"/>
      <c r="AF302"/>
      <c r="AG302"/>
      <c r="AH302"/>
      <c r="AI302"/>
      <c r="AJ302"/>
      <c r="AK302"/>
      <c r="AL302"/>
      <c r="AM302"/>
      <c r="AN302"/>
      <c r="AO302"/>
      <c r="AP302"/>
    </row>
    <row r="303" spans="1:42" ht="26.1" customHeight="1">
      <c r="A303" s="223"/>
      <c r="B303" s="322"/>
      <c r="C303" s="221"/>
      <c r="D303" s="220"/>
      <c r="E303" s="61" t="s">
        <v>39</v>
      </c>
      <c r="F303" s="61" t="s">
        <v>78</v>
      </c>
      <c r="G303" s="61" t="s">
        <v>40</v>
      </c>
      <c r="H303" s="220"/>
      <c r="I303" s="225"/>
      <c r="J303" s="102">
        <v>5.6</v>
      </c>
      <c r="K303" s="103">
        <f>IF(I303=1,(ROUNDUP((J303*0.05+J303),3)),ROUNDUP((J303*0.05+J303),3))</f>
        <v>5.88</v>
      </c>
      <c r="L303" s="103">
        <f t="shared" si="40"/>
        <v>6.72</v>
      </c>
      <c r="M303" s="215"/>
    </row>
    <row r="304" spans="1:42" s="6" customFormat="1" ht="26.1" customHeight="1">
      <c r="A304" s="226">
        <v>196</v>
      </c>
      <c r="B304" s="227" t="s">
        <v>53</v>
      </c>
      <c r="C304" s="228">
        <v>6632</v>
      </c>
      <c r="D304" s="229" t="s">
        <v>26</v>
      </c>
      <c r="E304" s="159" t="s">
        <v>39</v>
      </c>
      <c r="F304" s="159" t="s">
        <v>62</v>
      </c>
      <c r="G304" s="159" t="s">
        <v>44</v>
      </c>
      <c r="H304" s="229">
        <v>50</v>
      </c>
      <c r="I304" s="230">
        <v>5</v>
      </c>
      <c r="J304" s="165">
        <v>3.5</v>
      </c>
      <c r="K304" s="166">
        <f>IF(I304=1,(ROUNDUP((J304*0.05+J304),3)),ROUNDUP((J304*0.05+J304),3))</f>
        <v>3.6749999999999998</v>
      </c>
      <c r="L304" s="166">
        <f>IF(I304=1,"-",IF(AND(I304="",L317="-"),"-",ROUNDUP((J304*0.2)+J304,3)))</f>
        <v>4.2</v>
      </c>
      <c r="M304" s="215"/>
      <c r="N304"/>
      <c r="O304"/>
      <c r="P304"/>
    </row>
    <row r="305" spans="1:42" s="6" customFormat="1" ht="26.1" customHeight="1">
      <c r="A305" s="226"/>
      <c r="B305" s="227"/>
      <c r="C305" s="228"/>
      <c r="D305" s="229"/>
      <c r="E305" s="159" t="s">
        <v>39</v>
      </c>
      <c r="F305" s="159" t="s">
        <v>78</v>
      </c>
      <c r="G305" s="159" t="s">
        <v>44</v>
      </c>
      <c r="H305" s="229"/>
      <c r="I305" s="230"/>
      <c r="J305" s="167">
        <v>3.85</v>
      </c>
      <c r="K305" s="166">
        <f>IF(I305=1,(ROUNDUP((J305*0.05+J305),3)),ROUNDUP((J305*0.05+J305),3))</f>
        <v>4.0430000000000001</v>
      </c>
      <c r="L305" s="166">
        <f>IF(I305=1,"-",IF(AND(I305="",L304="-"),"-",ROUNDUP((J305*0.2)+J305,3)))</f>
        <v>4.62</v>
      </c>
      <c r="M305" s="215"/>
      <c r="N305"/>
      <c r="O305"/>
      <c r="P305"/>
    </row>
    <row r="306" spans="1:42" ht="26.1" customHeight="1">
      <c r="A306" s="226"/>
      <c r="B306" s="227"/>
      <c r="C306" s="228"/>
      <c r="D306" s="229"/>
      <c r="E306" s="159" t="s">
        <v>39</v>
      </c>
      <c r="F306" s="159" t="s">
        <v>62</v>
      </c>
      <c r="G306" s="159" t="s">
        <v>40</v>
      </c>
      <c r="H306" s="229"/>
      <c r="I306" s="230"/>
      <c r="J306" s="167">
        <v>3.85</v>
      </c>
      <c r="K306" s="166">
        <f>IF(I306=1,(ROUNDUP((J306*0.05+J306),3)),ROUNDUP((J306*0.05+J306),3))</f>
        <v>4.0430000000000001</v>
      </c>
      <c r="L306" s="166">
        <f>IF(I306=1,"-",IF(AND(I306="",L305="-"),"-",ROUNDUP((J306*0.2)+J306,3)))</f>
        <v>4.62</v>
      </c>
      <c r="M306" s="215"/>
    </row>
    <row r="307" spans="1:42" ht="26.1" customHeight="1">
      <c r="A307" s="226"/>
      <c r="B307" s="227"/>
      <c r="C307" s="228"/>
      <c r="D307" s="229"/>
      <c r="E307" s="159" t="s">
        <v>39</v>
      </c>
      <c r="F307" s="159" t="s">
        <v>78</v>
      </c>
      <c r="G307" s="159" t="s">
        <v>40</v>
      </c>
      <c r="H307" s="229"/>
      <c r="I307" s="230"/>
      <c r="J307" s="165">
        <v>4.25</v>
      </c>
      <c r="K307" s="166">
        <f>IF(I307=1,(ROUNDUP((J307*0.05+J307),3)),ROUNDUP((J307*0.05+J307),3))</f>
        <v>4.4630000000000001</v>
      </c>
      <c r="L307" s="166">
        <f>IF(I307=1,"-",IF(AND(I307="",L306="-"),"-",ROUNDUP((J307*0.2)+J307,3)))</f>
        <v>5.0999999999999996</v>
      </c>
      <c r="M307" s="215"/>
    </row>
    <row r="308" spans="1:42" ht="26.1" customHeight="1">
      <c r="A308" s="223">
        <v>196</v>
      </c>
      <c r="B308" s="222" t="s">
        <v>53</v>
      </c>
      <c r="C308" s="221">
        <v>6634</v>
      </c>
      <c r="D308" s="220" t="s">
        <v>52</v>
      </c>
      <c r="E308" s="61" t="s">
        <v>41</v>
      </c>
      <c r="F308" s="61" t="s">
        <v>62</v>
      </c>
      <c r="G308" s="61" t="s">
        <v>44</v>
      </c>
      <c r="H308" s="328">
        <v>50</v>
      </c>
      <c r="I308" s="225">
        <v>5</v>
      </c>
      <c r="J308" s="102">
        <v>3.75</v>
      </c>
      <c r="K308" s="103">
        <f t="shared" ref="K308:K313" si="41">IF(I308=1,(ROUNDUP((J308*0.05+J308),3)),ROUNDUP((J308*0.05+J308),3))</f>
        <v>3.9379999999999997</v>
      </c>
      <c r="L308" s="103">
        <f>IF(I308=1,"-",IF(AND(I308="",L303="-"),"-",ROUNDUP((J308*0.2)+J308,3)))</f>
        <v>4.5</v>
      </c>
      <c r="M308" s="215"/>
    </row>
    <row r="309" spans="1:42" ht="26.1" customHeight="1">
      <c r="A309" s="223"/>
      <c r="B309" s="222"/>
      <c r="C309" s="221"/>
      <c r="D309" s="220"/>
      <c r="E309" s="61" t="s">
        <v>41</v>
      </c>
      <c r="F309" s="61" t="s">
        <v>78</v>
      </c>
      <c r="G309" s="61" t="s">
        <v>44</v>
      </c>
      <c r="H309" s="328"/>
      <c r="I309" s="225"/>
      <c r="J309" s="102">
        <v>4.95</v>
      </c>
      <c r="K309" s="103">
        <f t="shared" si="41"/>
        <v>5.1980000000000004</v>
      </c>
      <c r="L309" s="103">
        <f t="shared" ref="L309:L317" si="42">IF(I309=1,"-",IF(AND(I309="",L308="-"),"-",ROUNDUP((J309*0.2)+J309,3)))</f>
        <v>5.94</v>
      </c>
      <c r="M309" s="215"/>
    </row>
    <row r="310" spans="1:42" s="6" customFormat="1" ht="26.1" customHeight="1">
      <c r="A310" s="223"/>
      <c r="B310" s="222"/>
      <c r="C310" s="221"/>
      <c r="D310" s="220"/>
      <c r="E310" s="61" t="s">
        <v>41</v>
      </c>
      <c r="F310" s="61" t="s">
        <v>62</v>
      </c>
      <c r="G310" s="61" t="s">
        <v>40</v>
      </c>
      <c r="H310" s="328"/>
      <c r="I310" s="225"/>
      <c r="J310" s="102">
        <v>4</v>
      </c>
      <c r="K310" s="103">
        <f t="shared" si="41"/>
        <v>4.2</v>
      </c>
      <c r="L310" s="103">
        <f t="shared" si="42"/>
        <v>4.8</v>
      </c>
      <c r="M310" s="215"/>
      <c r="N310"/>
      <c r="O310"/>
      <c r="P310"/>
      <c r="Q310"/>
      <c r="R310"/>
      <c r="S310"/>
      <c r="T310"/>
      <c r="U310"/>
      <c r="V310"/>
      <c r="W310"/>
      <c r="X310"/>
      <c r="Y310"/>
      <c r="Z310"/>
      <c r="AA310"/>
      <c r="AB310"/>
      <c r="AC310"/>
      <c r="AD310"/>
      <c r="AE310"/>
      <c r="AF310"/>
      <c r="AG310"/>
      <c r="AH310"/>
      <c r="AI310"/>
      <c r="AJ310"/>
      <c r="AK310"/>
      <c r="AL310"/>
      <c r="AM310"/>
      <c r="AN310"/>
      <c r="AO310"/>
      <c r="AP310"/>
    </row>
    <row r="311" spans="1:42" s="6" customFormat="1" ht="26.1" customHeight="1">
      <c r="A311" s="223"/>
      <c r="B311" s="222"/>
      <c r="C311" s="221"/>
      <c r="D311" s="220"/>
      <c r="E311" s="61" t="s">
        <v>41</v>
      </c>
      <c r="F311" s="61" t="s">
        <v>78</v>
      </c>
      <c r="G311" s="61" t="s">
        <v>40</v>
      </c>
      <c r="H311" s="328"/>
      <c r="I311" s="225"/>
      <c r="J311" s="102">
        <v>5.4</v>
      </c>
      <c r="K311" s="103">
        <f t="shared" si="41"/>
        <v>5.67</v>
      </c>
      <c r="L311" s="103">
        <f t="shared" si="42"/>
        <v>6.48</v>
      </c>
      <c r="M311" s="215"/>
      <c r="N311"/>
      <c r="O311"/>
      <c r="P311"/>
      <c r="Q311"/>
      <c r="R311"/>
      <c r="S311"/>
      <c r="T311"/>
      <c r="U311"/>
      <c r="V311"/>
      <c r="W311"/>
      <c r="X311"/>
      <c r="Y311"/>
      <c r="Z311"/>
      <c r="AA311"/>
      <c r="AB311"/>
      <c r="AC311"/>
      <c r="AD311"/>
      <c r="AE311"/>
      <c r="AF311"/>
      <c r="AG311"/>
      <c r="AH311"/>
      <c r="AI311"/>
      <c r="AJ311"/>
      <c r="AK311"/>
      <c r="AL311"/>
      <c r="AM311"/>
      <c r="AN311"/>
      <c r="AO311"/>
      <c r="AP311"/>
    </row>
    <row r="312" spans="1:42" s="6" customFormat="1" ht="26.1" customHeight="1">
      <c r="A312" s="329">
        <v>196</v>
      </c>
      <c r="B312" s="324" t="s">
        <v>53</v>
      </c>
      <c r="C312" s="325">
        <v>6638</v>
      </c>
      <c r="D312" s="313" t="s">
        <v>49</v>
      </c>
      <c r="E312" s="185" t="s">
        <v>39</v>
      </c>
      <c r="F312" s="185" t="s">
        <v>62</v>
      </c>
      <c r="G312" s="185" t="s">
        <v>44</v>
      </c>
      <c r="H312" s="313">
        <v>50</v>
      </c>
      <c r="I312" s="314">
        <v>5</v>
      </c>
      <c r="J312" s="168">
        <v>3.75</v>
      </c>
      <c r="K312" s="187">
        <f t="shared" si="41"/>
        <v>3.9379999999999997</v>
      </c>
      <c r="L312" s="187">
        <f t="shared" si="42"/>
        <v>4.5</v>
      </c>
      <c r="M312" s="215"/>
      <c r="N312"/>
      <c r="O312"/>
      <c r="P312"/>
      <c r="Q312"/>
      <c r="R312"/>
      <c r="S312"/>
      <c r="T312"/>
      <c r="U312"/>
      <c r="V312"/>
      <c r="W312"/>
      <c r="X312"/>
      <c r="Y312"/>
      <c r="Z312"/>
      <c r="AA312"/>
      <c r="AB312"/>
      <c r="AC312"/>
      <c r="AD312"/>
      <c r="AE312"/>
      <c r="AF312"/>
      <c r="AG312"/>
      <c r="AH312"/>
      <c r="AI312"/>
      <c r="AJ312"/>
      <c r="AK312"/>
      <c r="AL312"/>
      <c r="AM312"/>
      <c r="AN312"/>
      <c r="AO312"/>
      <c r="AP312"/>
    </row>
    <row r="313" spans="1:42" s="6" customFormat="1" ht="26.1" customHeight="1">
      <c r="A313" s="329"/>
      <c r="B313" s="324"/>
      <c r="C313" s="325"/>
      <c r="D313" s="313"/>
      <c r="E313" s="185" t="s">
        <v>39</v>
      </c>
      <c r="F313" s="185" t="s">
        <v>78</v>
      </c>
      <c r="G313" s="185" t="s">
        <v>44</v>
      </c>
      <c r="H313" s="313"/>
      <c r="I313" s="314"/>
      <c r="J313" s="168">
        <v>4.95</v>
      </c>
      <c r="K313" s="187">
        <f t="shared" si="41"/>
        <v>5.1980000000000004</v>
      </c>
      <c r="L313" s="187">
        <f t="shared" si="42"/>
        <v>5.94</v>
      </c>
      <c r="M313" s="215"/>
      <c r="N313"/>
      <c r="O313"/>
      <c r="P313"/>
    </row>
    <row r="314" spans="1:42" s="6" customFormat="1" ht="26.1" customHeight="1">
      <c r="A314" s="329"/>
      <c r="B314" s="324"/>
      <c r="C314" s="325"/>
      <c r="D314" s="313"/>
      <c r="E314" s="185" t="s">
        <v>39</v>
      </c>
      <c r="F314" s="185" t="s">
        <v>79</v>
      </c>
      <c r="G314" s="185" t="s">
        <v>44</v>
      </c>
      <c r="H314" s="313"/>
      <c r="I314" s="314"/>
      <c r="J314" s="168">
        <v>5.2</v>
      </c>
      <c r="K314" s="187">
        <f>IF(I314=1,(ROUNDUP((J314*0.05+J314),3)),ROUNDUP((J314*0.05+J314),3))</f>
        <v>5.46</v>
      </c>
      <c r="L314" s="187">
        <f t="shared" si="42"/>
        <v>6.24</v>
      </c>
      <c r="M314" s="215"/>
      <c r="N314"/>
      <c r="O314"/>
      <c r="P314"/>
    </row>
    <row r="315" spans="1:42" s="6" customFormat="1" ht="26.1" customHeight="1">
      <c r="A315" s="329"/>
      <c r="B315" s="324"/>
      <c r="C315" s="325"/>
      <c r="D315" s="313"/>
      <c r="E315" s="185" t="s">
        <v>39</v>
      </c>
      <c r="F315" s="185" t="s">
        <v>62</v>
      </c>
      <c r="G315" s="185" t="s">
        <v>40</v>
      </c>
      <c r="H315" s="313"/>
      <c r="I315" s="314"/>
      <c r="J315" s="168">
        <v>4</v>
      </c>
      <c r="K315" s="187">
        <f>IF(I315=1,(ROUNDUP((J315*0.05+J315),3)),ROUNDUP((J315*0.05+J315),3))</f>
        <v>4.2</v>
      </c>
      <c r="L315" s="187">
        <f t="shared" si="42"/>
        <v>4.8</v>
      </c>
      <c r="M315" s="215"/>
      <c r="N315"/>
      <c r="O315"/>
      <c r="P315"/>
    </row>
    <row r="316" spans="1:42" s="6" customFormat="1" ht="26.1" customHeight="1">
      <c r="A316" s="329"/>
      <c r="B316" s="324"/>
      <c r="C316" s="325"/>
      <c r="D316" s="313"/>
      <c r="E316" s="185" t="s">
        <v>39</v>
      </c>
      <c r="F316" s="185" t="s">
        <v>78</v>
      </c>
      <c r="G316" s="185" t="s">
        <v>40</v>
      </c>
      <c r="H316" s="313"/>
      <c r="I316" s="314"/>
      <c r="J316" s="168">
        <v>5.4</v>
      </c>
      <c r="K316" s="187">
        <f>IF(I316=1,(ROUNDUP((J316*0.05+J316),3)),ROUNDUP((J316*0.05+J316),3))</f>
        <v>5.67</v>
      </c>
      <c r="L316" s="187">
        <f t="shared" si="42"/>
        <v>6.48</v>
      </c>
      <c r="M316" s="215"/>
      <c r="N316"/>
      <c r="O316"/>
      <c r="P316"/>
    </row>
    <row r="317" spans="1:42" ht="26.1" customHeight="1">
      <c r="A317" s="329"/>
      <c r="B317" s="324"/>
      <c r="C317" s="325"/>
      <c r="D317" s="313"/>
      <c r="E317" s="185" t="s">
        <v>39</v>
      </c>
      <c r="F317" s="185" t="s">
        <v>79</v>
      </c>
      <c r="G317" s="185" t="s">
        <v>40</v>
      </c>
      <c r="H317" s="313"/>
      <c r="I317" s="314"/>
      <c r="J317" s="168">
        <v>5.65</v>
      </c>
      <c r="K317" s="187">
        <f>IF(I317=1,(ROUNDUP((J317*0.05+J317),3)),ROUNDUP((J317*0.05+J317),3))</f>
        <v>5.9330000000000007</v>
      </c>
      <c r="L317" s="187">
        <f t="shared" si="42"/>
        <v>6.78</v>
      </c>
      <c r="M317" s="215"/>
    </row>
    <row r="318" spans="1:42" ht="26.1" customHeight="1">
      <c r="A318" s="315">
        <v>71</v>
      </c>
      <c r="B318" s="316" t="s">
        <v>164</v>
      </c>
      <c r="C318" s="317" t="s">
        <v>458</v>
      </c>
      <c r="D318" s="257" t="s">
        <v>326</v>
      </c>
      <c r="E318" s="213" t="s">
        <v>107</v>
      </c>
      <c r="F318" s="112" t="s">
        <v>62</v>
      </c>
      <c r="G318" s="214" t="s">
        <v>44</v>
      </c>
      <c r="H318" s="257">
        <v>50</v>
      </c>
      <c r="I318" s="257">
        <v>1</v>
      </c>
      <c r="J318" s="102">
        <v>4.95</v>
      </c>
      <c r="K318" s="103">
        <f t="shared" ref="K318:K325" si="43">IF(I318=1,(ROUNDUP((J318*0.05+J318),3)),ROUNDUP((J318*0.05+J318),3))</f>
        <v>5.1980000000000004</v>
      </c>
      <c r="L318" s="103" t="str">
        <f t="shared" ref="L318:L325" si="44">IF(I318=1,"-",IF(AND(I318="",L317="-"),"-",ROUNDUP((J318*0.2)+J318,3)))</f>
        <v>-</v>
      </c>
      <c r="M318" s="215"/>
    </row>
    <row r="319" spans="1:42" ht="26.1" customHeight="1">
      <c r="A319" s="315"/>
      <c r="B319" s="316"/>
      <c r="C319" s="317"/>
      <c r="D319" s="257"/>
      <c r="E319" s="213" t="s">
        <v>107</v>
      </c>
      <c r="F319" s="112" t="s">
        <v>78</v>
      </c>
      <c r="G319" s="214" t="s">
        <v>44</v>
      </c>
      <c r="H319" s="257"/>
      <c r="I319" s="257"/>
      <c r="J319" s="102">
        <v>5.5</v>
      </c>
      <c r="K319" s="103">
        <f t="shared" si="43"/>
        <v>5.7750000000000004</v>
      </c>
      <c r="L319" s="103" t="str">
        <f t="shared" si="44"/>
        <v>-</v>
      </c>
      <c r="M319" s="215"/>
    </row>
    <row r="320" spans="1:42" ht="26.1" customHeight="1">
      <c r="A320" s="315"/>
      <c r="B320" s="316"/>
      <c r="C320" s="317"/>
      <c r="D320" s="257"/>
      <c r="E320" s="213" t="s">
        <v>107</v>
      </c>
      <c r="F320" s="112" t="s">
        <v>79</v>
      </c>
      <c r="G320" s="214" t="s">
        <v>44</v>
      </c>
      <c r="H320" s="257"/>
      <c r="I320" s="257"/>
      <c r="J320" s="102">
        <v>6</v>
      </c>
      <c r="K320" s="103">
        <f t="shared" si="43"/>
        <v>6.3</v>
      </c>
      <c r="L320" s="103" t="str">
        <f t="shared" si="44"/>
        <v>-</v>
      </c>
      <c r="M320" s="215"/>
    </row>
    <row r="321" spans="1:42" ht="26.1" customHeight="1">
      <c r="A321" s="315"/>
      <c r="B321" s="316"/>
      <c r="C321" s="317"/>
      <c r="D321" s="257"/>
      <c r="E321" s="213" t="s">
        <v>107</v>
      </c>
      <c r="F321" s="112" t="s">
        <v>86</v>
      </c>
      <c r="G321" s="214" t="s">
        <v>44</v>
      </c>
      <c r="H321" s="257"/>
      <c r="I321" s="257"/>
      <c r="J321" s="102">
        <v>6.5</v>
      </c>
      <c r="K321" s="103">
        <f t="shared" ref="K321" si="45">IF(I321=1,(ROUNDUP((J321*0.05+J321),3)),ROUNDUP((J321*0.05+J321),3))</f>
        <v>6.8250000000000002</v>
      </c>
      <c r="L321" s="103" t="str">
        <f t="shared" ref="L321" si="46">IF(I321=1,"-",IF(AND(I321="",L320="-"),"-",ROUNDUP((J321*0.2)+J321,3)))</f>
        <v>-</v>
      </c>
      <c r="M321" s="215"/>
    </row>
    <row r="322" spans="1:42" ht="26.1" customHeight="1">
      <c r="A322" s="315"/>
      <c r="B322" s="316"/>
      <c r="C322" s="317"/>
      <c r="D322" s="257"/>
      <c r="E322" s="213" t="s">
        <v>107</v>
      </c>
      <c r="F322" s="112" t="s">
        <v>62</v>
      </c>
      <c r="G322" s="214" t="s">
        <v>40</v>
      </c>
      <c r="H322" s="257"/>
      <c r="I322" s="257"/>
      <c r="J322" s="102">
        <v>5.5</v>
      </c>
      <c r="K322" s="103">
        <f t="shared" si="43"/>
        <v>5.7750000000000004</v>
      </c>
      <c r="L322" s="103" t="str">
        <f>IF(I322=1,"-",IF(AND(I322="",L320="-"),"-",ROUNDUP((J322*0.2)+J322,3)))</f>
        <v>-</v>
      </c>
      <c r="M322" s="215"/>
    </row>
    <row r="323" spans="1:42" ht="26.1" customHeight="1">
      <c r="A323" s="315"/>
      <c r="B323" s="316"/>
      <c r="C323" s="317"/>
      <c r="D323" s="257"/>
      <c r="E323" s="213" t="s">
        <v>107</v>
      </c>
      <c r="F323" s="112" t="s">
        <v>78</v>
      </c>
      <c r="G323" s="214" t="s">
        <v>40</v>
      </c>
      <c r="H323" s="257"/>
      <c r="I323" s="257"/>
      <c r="J323" s="102">
        <v>6</v>
      </c>
      <c r="K323" s="103">
        <f t="shared" si="43"/>
        <v>6.3</v>
      </c>
      <c r="L323" s="103" t="str">
        <f t="shared" si="44"/>
        <v>-</v>
      </c>
      <c r="M323" s="215"/>
    </row>
    <row r="324" spans="1:42" ht="26.1" customHeight="1">
      <c r="A324" s="315"/>
      <c r="B324" s="316"/>
      <c r="C324" s="317"/>
      <c r="D324" s="257"/>
      <c r="E324" s="213" t="s">
        <v>107</v>
      </c>
      <c r="F324" s="112" t="s">
        <v>79</v>
      </c>
      <c r="G324" s="214" t="s">
        <v>40</v>
      </c>
      <c r="H324" s="257"/>
      <c r="I324" s="257"/>
      <c r="J324" s="102">
        <v>6.5</v>
      </c>
      <c r="K324" s="103">
        <f t="shared" si="43"/>
        <v>6.8250000000000002</v>
      </c>
      <c r="L324" s="103" t="str">
        <f t="shared" si="44"/>
        <v>-</v>
      </c>
      <c r="M324" s="215"/>
    </row>
    <row r="325" spans="1:42" ht="26.1" customHeight="1">
      <c r="A325" s="315"/>
      <c r="B325" s="316"/>
      <c r="C325" s="317"/>
      <c r="D325" s="257"/>
      <c r="E325" s="213" t="s">
        <v>107</v>
      </c>
      <c r="F325" s="112" t="s">
        <v>86</v>
      </c>
      <c r="G325" s="214" t="s">
        <v>40</v>
      </c>
      <c r="H325" s="257"/>
      <c r="I325" s="257"/>
      <c r="J325" s="102">
        <v>7</v>
      </c>
      <c r="K325" s="103">
        <f t="shared" si="43"/>
        <v>7.35</v>
      </c>
      <c r="L325" s="103" t="str">
        <f t="shared" si="44"/>
        <v>-</v>
      </c>
      <c r="M325" s="215"/>
    </row>
    <row r="326" spans="1:42" s="6" customFormat="1" ht="26.1" customHeight="1">
      <c r="A326" s="156">
        <v>197</v>
      </c>
      <c r="B326" s="157" t="s">
        <v>53</v>
      </c>
      <c r="C326" s="158">
        <v>6629</v>
      </c>
      <c r="D326" s="159" t="s">
        <v>297</v>
      </c>
      <c r="E326" s="159" t="s">
        <v>39</v>
      </c>
      <c r="F326" s="159" t="s">
        <v>62</v>
      </c>
      <c r="G326" s="159" t="s">
        <v>44</v>
      </c>
      <c r="H326" s="159">
        <v>50</v>
      </c>
      <c r="I326" s="160">
        <v>1</v>
      </c>
      <c r="J326" s="165">
        <v>5.95</v>
      </c>
      <c r="K326" s="166">
        <f t="shared" ref="K326:K339" si="47">IF(I326=1,(ROUNDUP((J326*0.05+J326),3)),ROUNDUP((J326*0.05+J326),3))</f>
        <v>6.2480000000000002</v>
      </c>
      <c r="L326" s="166" t="str">
        <f>IF(I326=1,"-",IF(AND(I326="",#REF!="-"),"-",ROUNDUP((J326*0.2)+J326,3)))</f>
        <v>-</v>
      </c>
      <c r="M326" s="215"/>
      <c r="N326"/>
      <c r="O326"/>
      <c r="P326"/>
    </row>
    <row r="327" spans="1:42" s="51" customFormat="1" ht="24.95" customHeight="1">
      <c r="A327" s="223">
        <v>199</v>
      </c>
      <c r="B327" s="318" t="s">
        <v>53</v>
      </c>
      <c r="C327" s="240" t="s">
        <v>36</v>
      </c>
      <c r="D327" s="220" t="s">
        <v>54</v>
      </c>
      <c r="E327" s="61" t="s">
        <v>107</v>
      </c>
      <c r="F327" s="61" t="s">
        <v>62</v>
      </c>
      <c r="G327" s="61" t="s">
        <v>84</v>
      </c>
      <c r="H327" s="220">
        <v>50</v>
      </c>
      <c r="I327" s="225">
        <v>1</v>
      </c>
      <c r="J327" s="102">
        <v>2.95</v>
      </c>
      <c r="K327" s="103">
        <f t="shared" si="47"/>
        <v>3.0979999999999999</v>
      </c>
      <c r="L327" s="103" t="str">
        <f>IF(I327=1,"-",IF(AND(I327="",L356="-"),"-",ROUNDUP((J327*0.2)+J327,3)))</f>
        <v>-</v>
      </c>
      <c r="M327" s="215"/>
      <c r="N327"/>
      <c r="O327"/>
      <c r="P327"/>
    </row>
    <row r="328" spans="1:42" s="6" customFormat="1" ht="26.1" customHeight="1">
      <c r="A328" s="223"/>
      <c r="B328" s="318"/>
      <c r="C328" s="240"/>
      <c r="D328" s="220"/>
      <c r="E328" s="61" t="s">
        <v>107</v>
      </c>
      <c r="F328" s="61" t="s">
        <v>78</v>
      </c>
      <c r="G328" s="61" t="s">
        <v>84</v>
      </c>
      <c r="H328" s="220"/>
      <c r="I328" s="225"/>
      <c r="J328" s="102">
        <v>3.41</v>
      </c>
      <c r="K328" s="103">
        <f t="shared" si="47"/>
        <v>3.581</v>
      </c>
      <c r="L328" s="103" t="str">
        <f t="shared" ref="L328:L333" si="48">IF(I328=1,"-",IF(AND(I328="",L327="-"),"-",ROUNDUP((J328*0.2)+J328,3)))</f>
        <v>-</v>
      </c>
      <c r="M328" s="215"/>
      <c r="N328"/>
      <c r="O328"/>
      <c r="P328"/>
      <c r="Q328"/>
      <c r="R328"/>
      <c r="S328"/>
      <c r="T328"/>
      <c r="U328"/>
      <c r="V328"/>
      <c r="W328"/>
      <c r="X328"/>
      <c r="Y328"/>
      <c r="Z328"/>
      <c r="AA328"/>
      <c r="AB328"/>
      <c r="AC328"/>
      <c r="AD328"/>
      <c r="AE328"/>
      <c r="AF328"/>
      <c r="AG328"/>
      <c r="AH328"/>
      <c r="AI328"/>
      <c r="AJ328"/>
      <c r="AK328"/>
      <c r="AL328"/>
      <c r="AM328"/>
      <c r="AN328"/>
      <c r="AO328"/>
      <c r="AP328"/>
    </row>
    <row r="329" spans="1:42" s="6" customFormat="1" ht="26.1" customHeight="1">
      <c r="A329" s="156">
        <v>199</v>
      </c>
      <c r="B329" s="157" t="s">
        <v>53</v>
      </c>
      <c r="C329" s="158" t="s">
        <v>95</v>
      </c>
      <c r="D329" s="159" t="s">
        <v>96</v>
      </c>
      <c r="E329" s="159" t="s">
        <v>41</v>
      </c>
      <c r="F329" s="159" t="s">
        <v>62</v>
      </c>
      <c r="G329" s="159" t="s">
        <v>84</v>
      </c>
      <c r="H329" s="159">
        <v>50</v>
      </c>
      <c r="I329" s="160">
        <v>1</v>
      </c>
      <c r="J329" s="165">
        <v>2.95</v>
      </c>
      <c r="K329" s="166">
        <f t="shared" si="47"/>
        <v>3.0979999999999999</v>
      </c>
      <c r="L329" s="166" t="str">
        <f t="shared" si="48"/>
        <v>-</v>
      </c>
      <c r="M329" s="215"/>
      <c r="N329"/>
      <c r="O329"/>
      <c r="P329"/>
      <c r="Q329"/>
      <c r="R329"/>
      <c r="S329"/>
      <c r="T329"/>
      <c r="U329"/>
      <c r="V329"/>
      <c r="W329"/>
      <c r="X329"/>
      <c r="Y329"/>
      <c r="Z329"/>
      <c r="AA329"/>
      <c r="AB329"/>
      <c r="AC329"/>
      <c r="AD329"/>
      <c r="AE329"/>
      <c r="AF329"/>
      <c r="AG329"/>
      <c r="AH329"/>
      <c r="AI329"/>
      <c r="AJ329"/>
      <c r="AK329"/>
      <c r="AL329"/>
      <c r="AM329"/>
      <c r="AN329"/>
      <c r="AO329"/>
      <c r="AP329"/>
    </row>
    <row r="330" spans="1:42" s="6" customFormat="1" ht="26.1" customHeight="1">
      <c r="A330" s="223">
        <v>199</v>
      </c>
      <c r="B330" s="318" t="s">
        <v>53</v>
      </c>
      <c r="C330" s="240" t="s">
        <v>28</v>
      </c>
      <c r="D330" s="220" t="s">
        <v>74</v>
      </c>
      <c r="E330" s="61" t="s">
        <v>107</v>
      </c>
      <c r="F330" s="61" t="s">
        <v>62</v>
      </c>
      <c r="G330" s="61" t="s">
        <v>40</v>
      </c>
      <c r="H330" s="220">
        <v>50</v>
      </c>
      <c r="I330" s="225">
        <v>1</v>
      </c>
      <c r="J330" s="102">
        <v>3.7</v>
      </c>
      <c r="K330" s="103">
        <f t="shared" si="47"/>
        <v>3.8849999999999998</v>
      </c>
      <c r="L330" s="103" t="str">
        <f t="shared" si="48"/>
        <v>-</v>
      </c>
      <c r="M330" s="215"/>
      <c r="N330"/>
      <c r="O330"/>
      <c r="P330"/>
      <c r="Q330"/>
      <c r="R330"/>
      <c r="S330"/>
      <c r="T330"/>
      <c r="U330"/>
      <c r="V330"/>
      <c r="W330"/>
      <c r="X330"/>
      <c r="Y330"/>
      <c r="Z330"/>
      <c r="AA330"/>
      <c r="AB330"/>
      <c r="AC330"/>
      <c r="AD330"/>
      <c r="AE330"/>
      <c r="AF330"/>
      <c r="AG330"/>
      <c r="AH330"/>
      <c r="AI330"/>
      <c r="AJ330"/>
      <c r="AK330"/>
      <c r="AL330"/>
      <c r="AM330"/>
      <c r="AN330"/>
      <c r="AO330"/>
      <c r="AP330"/>
    </row>
    <row r="331" spans="1:42" s="6" customFormat="1" ht="26.1" customHeight="1">
      <c r="A331" s="223"/>
      <c r="B331" s="318"/>
      <c r="C331" s="240"/>
      <c r="D331" s="220"/>
      <c r="E331" s="61" t="s">
        <v>107</v>
      </c>
      <c r="F331" s="61" t="s">
        <v>78</v>
      </c>
      <c r="G331" s="61" t="s">
        <v>40</v>
      </c>
      <c r="H331" s="220"/>
      <c r="I331" s="225"/>
      <c r="J331" s="102">
        <v>3.99</v>
      </c>
      <c r="K331" s="103">
        <f t="shared" si="47"/>
        <v>4.1900000000000004</v>
      </c>
      <c r="L331" s="103" t="str">
        <f t="shared" si="48"/>
        <v>-</v>
      </c>
      <c r="M331" s="215"/>
      <c r="N331"/>
      <c r="O331"/>
      <c r="P331"/>
      <c r="Q331"/>
      <c r="R331"/>
      <c r="S331"/>
      <c r="T331"/>
      <c r="U331"/>
      <c r="V331"/>
      <c r="W331"/>
      <c r="X331"/>
      <c r="Y331"/>
      <c r="Z331"/>
      <c r="AA331"/>
      <c r="AB331"/>
      <c r="AC331"/>
      <c r="AD331"/>
      <c r="AE331"/>
      <c r="AF331"/>
      <c r="AG331"/>
      <c r="AH331"/>
      <c r="AI331"/>
      <c r="AJ331"/>
      <c r="AK331"/>
      <c r="AL331"/>
      <c r="AM331"/>
      <c r="AN331"/>
      <c r="AO331"/>
      <c r="AP331"/>
    </row>
    <row r="332" spans="1:42" s="6" customFormat="1" ht="26.1" customHeight="1">
      <c r="A332" s="310">
        <v>200</v>
      </c>
      <c r="B332" s="319" t="s">
        <v>53</v>
      </c>
      <c r="C332" s="312" t="s">
        <v>132</v>
      </c>
      <c r="D332" s="313" t="s">
        <v>133</v>
      </c>
      <c r="E332" s="185" t="s">
        <v>39</v>
      </c>
      <c r="F332" s="185" t="s">
        <v>295</v>
      </c>
      <c r="G332" s="185" t="s">
        <v>84</v>
      </c>
      <c r="H332" s="313">
        <v>50</v>
      </c>
      <c r="I332" s="314">
        <v>1</v>
      </c>
      <c r="J332" s="168">
        <v>4.5</v>
      </c>
      <c r="K332" s="187">
        <f t="shared" si="47"/>
        <v>4.7249999999999996</v>
      </c>
      <c r="L332" s="187" t="str">
        <f t="shared" si="48"/>
        <v>-</v>
      </c>
      <c r="M332" s="215"/>
      <c r="N332"/>
      <c r="O332"/>
      <c r="P332"/>
      <c r="Q332"/>
      <c r="R332"/>
      <c r="S332"/>
      <c r="T332"/>
      <c r="U332"/>
      <c r="V332"/>
      <c r="W332"/>
      <c r="X332"/>
      <c r="Y332"/>
      <c r="Z332"/>
      <c r="AA332"/>
      <c r="AB332"/>
      <c r="AC332"/>
      <c r="AD332"/>
      <c r="AE332"/>
      <c r="AF332"/>
      <c r="AG332"/>
      <c r="AH332"/>
      <c r="AI332"/>
      <c r="AJ332"/>
      <c r="AK332"/>
      <c r="AL332"/>
      <c r="AM332"/>
      <c r="AN332"/>
      <c r="AO332"/>
      <c r="AP332"/>
    </row>
    <row r="333" spans="1:42" s="6" customFormat="1" ht="26.1" customHeight="1">
      <c r="A333" s="310"/>
      <c r="B333" s="319"/>
      <c r="C333" s="312"/>
      <c r="D333" s="313"/>
      <c r="E333" s="185" t="s">
        <v>39</v>
      </c>
      <c r="F333" s="185" t="s">
        <v>78</v>
      </c>
      <c r="G333" s="185" t="s">
        <v>84</v>
      </c>
      <c r="H333" s="313"/>
      <c r="I333" s="314"/>
      <c r="J333" s="168">
        <v>4.75</v>
      </c>
      <c r="K333" s="187">
        <f t="shared" si="47"/>
        <v>4.9880000000000004</v>
      </c>
      <c r="L333" s="187" t="str">
        <f t="shared" si="48"/>
        <v>-</v>
      </c>
      <c r="M333" s="215"/>
      <c r="N333"/>
      <c r="O333"/>
      <c r="P333"/>
    </row>
    <row r="334" spans="1:42" s="6" customFormat="1" ht="26.1" customHeight="1">
      <c r="A334" s="63">
        <v>200</v>
      </c>
      <c r="B334" s="59" t="s">
        <v>53</v>
      </c>
      <c r="C334" s="60" t="s">
        <v>134</v>
      </c>
      <c r="D334" s="61" t="s">
        <v>135</v>
      </c>
      <c r="E334" s="61" t="s">
        <v>41</v>
      </c>
      <c r="F334" s="61" t="s">
        <v>62</v>
      </c>
      <c r="G334" s="61" t="s">
        <v>84</v>
      </c>
      <c r="H334" s="61">
        <v>50</v>
      </c>
      <c r="I334" s="83">
        <v>1</v>
      </c>
      <c r="J334" s="102">
        <v>4.5</v>
      </c>
      <c r="K334" s="103">
        <f t="shared" si="47"/>
        <v>4.7249999999999996</v>
      </c>
      <c r="L334" s="103" t="str">
        <f>IF(I334=1,"-",IF(AND(I334="",L336="-"),"-",ROUNDUP((J334*0.2)+J334,3)))</f>
        <v>-</v>
      </c>
      <c r="M334" s="215"/>
      <c r="N334"/>
      <c r="O334"/>
      <c r="P334"/>
      <c r="Q334"/>
      <c r="R334"/>
      <c r="S334"/>
      <c r="T334"/>
      <c r="U334"/>
      <c r="V334"/>
      <c r="W334"/>
      <c r="X334"/>
      <c r="Y334"/>
      <c r="Z334"/>
      <c r="AA334"/>
      <c r="AB334"/>
      <c r="AC334"/>
      <c r="AD334"/>
      <c r="AE334"/>
      <c r="AF334"/>
      <c r="AG334"/>
      <c r="AH334"/>
      <c r="AI334"/>
      <c r="AJ334"/>
      <c r="AK334"/>
      <c r="AL334"/>
      <c r="AM334"/>
      <c r="AN334"/>
      <c r="AO334"/>
      <c r="AP334"/>
    </row>
    <row r="335" spans="1:42" s="6" customFormat="1" ht="26.1" customHeight="1">
      <c r="A335" s="226">
        <v>200</v>
      </c>
      <c r="B335" s="327" t="s">
        <v>53</v>
      </c>
      <c r="C335" s="309" t="s">
        <v>173</v>
      </c>
      <c r="D335" s="229" t="s">
        <v>174</v>
      </c>
      <c r="E335" s="159" t="s">
        <v>39</v>
      </c>
      <c r="F335" s="159" t="s">
        <v>62</v>
      </c>
      <c r="G335" s="159" t="s">
        <v>84</v>
      </c>
      <c r="H335" s="229">
        <v>50</v>
      </c>
      <c r="I335" s="323">
        <v>1</v>
      </c>
      <c r="J335" s="165">
        <v>3.75</v>
      </c>
      <c r="K335" s="166">
        <f t="shared" si="47"/>
        <v>3.9379999999999997</v>
      </c>
      <c r="L335" s="166" t="str">
        <f>IF(I335=1,"-",IF(AND(I335="",L333="-"),"-",ROUNDUP((J335*0.2)+J335,3)))</f>
        <v>-</v>
      </c>
      <c r="M335" s="215"/>
      <c r="N335"/>
      <c r="O335"/>
      <c r="P335"/>
    </row>
    <row r="336" spans="1:42" s="6" customFormat="1" ht="26.1" customHeight="1">
      <c r="A336" s="226"/>
      <c r="B336" s="327"/>
      <c r="C336" s="309"/>
      <c r="D336" s="229"/>
      <c r="E336" s="159" t="s">
        <v>39</v>
      </c>
      <c r="F336" s="159" t="s">
        <v>78</v>
      </c>
      <c r="G336" s="159" t="s">
        <v>84</v>
      </c>
      <c r="H336" s="229"/>
      <c r="I336" s="323"/>
      <c r="J336" s="165">
        <v>3.95</v>
      </c>
      <c r="K336" s="166">
        <f t="shared" si="47"/>
        <v>4.1480000000000006</v>
      </c>
      <c r="L336" s="166" t="str">
        <f>IF(I336=1,"-",IF(AND(I336="",L335="-"),"-",ROUNDUP((J336*0.2)+J336,3)))</f>
        <v>-</v>
      </c>
      <c r="M336" s="215"/>
      <c r="N336"/>
      <c r="O336"/>
      <c r="P336"/>
    </row>
    <row r="337" spans="1:42" s="6" customFormat="1" ht="26.1" customHeight="1">
      <c r="A337" s="63">
        <v>200</v>
      </c>
      <c r="B337" s="59" t="s">
        <v>53</v>
      </c>
      <c r="C337" s="60" t="s">
        <v>175</v>
      </c>
      <c r="D337" s="61" t="s">
        <v>176</v>
      </c>
      <c r="E337" s="61" t="s">
        <v>41</v>
      </c>
      <c r="F337" s="61" t="s">
        <v>32</v>
      </c>
      <c r="G337" s="61" t="s">
        <v>84</v>
      </c>
      <c r="H337" s="61">
        <v>50</v>
      </c>
      <c r="I337" s="190">
        <v>1</v>
      </c>
      <c r="J337" s="102">
        <v>3.75</v>
      </c>
      <c r="K337" s="103">
        <f t="shared" si="47"/>
        <v>3.9379999999999997</v>
      </c>
      <c r="L337" s="103" t="str">
        <f>IF(I337=1,"-",IF(AND(I337="",L334="-"),"-",ROUNDUP((J337*0.2)+J337,3)))</f>
        <v>-</v>
      </c>
      <c r="M337" s="215"/>
      <c r="N337"/>
      <c r="O337"/>
      <c r="P337"/>
    </row>
    <row r="338" spans="1:42" s="6" customFormat="1" ht="26.1" customHeight="1">
      <c r="A338" s="310">
        <v>202</v>
      </c>
      <c r="B338" s="324" t="s">
        <v>53</v>
      </c>
      <c r="C338" s="325">
        <v>1217</v>
      </c>
      <c r="D338" s="313" t="s">
        <v>29</v>
      </c>
      <c r="E338" s="185" t="s">
        <v>39</v>
      </c>
      <c r="F338" s="185" t="s">
        <v>62</v>
      </c>
      <c r="G338" s="185" t="s">
        <v>44</v>
      </c>
      <c r="H338" s="313">
        <v>50</v>
      </c>
      <c r="I338" s="326">
        <v>1</v>
      </c>
      <c r="J338" s="168">
        <v>2.75</v>
      </c>
      <c r="K338" s="187">
        <f t="shared" si="47"/>
        <v>2.8879999999999999</v>
      </c>
      <c r="L338" s="187" t="str">
        <f>IF(I338=1,"-",IF(AND(I338="",L337="-"),"-",ROUNDUP((J338*0.2)+J338,3)))</f>
        <v>-</v>
      </c>
      <c r="M338" s="215"/>
      <c r="N338"/>
      <c r="O338"/>
      <c r="P338"/>
    </row>
    <row r="339" spans="1:42" s="6" customFormat="1" ht="26.1" customHeight="1">
      <c r="A339" s="310"/>
      <c r="B339" s="324"/>
      <c r="C339" s="325"/>
      <c r="D339" s="313"/>
      <c r="E339" s="185" t="s">
        <v>39</v>
      </c>
      <c r="F339" s="185" t="s">
        <v>78</v>
      </c>
      <c r="G339" s="185" t="s">
        <v>44</v>
      </c>
      <c r="H339" s="313"/>
      <c r="I339" s="326"/>
      <c r="J339" s="168">
        <v>3.15</v>
      </c>
      <c r="K339" s="187">
        <f t="shared" si="47"/>
        <v>3.3079999999999998</v>
      </c>
      <c r="L339" s="187" t="str">
        <f>IF(I339=1,"-",IF(AND(I339="",L337="-"),"-",ROUNDUP((J339*0.2)+J339,3)))</f>
        <v>-</v>
      </c>
      <c r="M339" s="215"/>
      <c r="N339"/>
      <c r="O339"/>
      <c r="P339"/>
      <c r="Q339"/>
      <c r="R339"/>
      <c r="S339"/>
      <c r="T339"/>
      <c r="U339"/>
      <c r="V339"/>
      <c r="W339"/>
      <c r="X339"/>
      <c r="Y339"/>
      <c r="Z339"/>
      <c r="AA339"/>
      <c r="AB339"/>
      <c r="AC339"/>
      <c r="AD339"/>
      <c r="AE339"/>
      <c r="AF339"/>
      <c r="AG339"/>
      <c r="AH339"/>
      <c r="AI339"/>
      <c r="AJ339"/>
      <c r="AK339"/>
      <c r="AL339"/>
      <c r="AM339"/>
      <c r="AN339"/>
      <c r="AO339"/>
      <c r="AP339"/>
    </row>
    <row r="340" spans="1:42" s="6" customFormat="1" ht="26.1" customHeight="1">
      <c r="A340" s="310"/>
      <c r="B340" s="324"/>
      <c r="C340" s="325"/>
      <c r="D340" s="313"/>
      <c r="E340" s="185" t="s">
        <v>39</v>
      </c>
      <c r="F340" s="185" t="s">
        <v>79</v>
      </c>
      <c r="G340" s="185" t="s">
        <v>44</v>
      </c>
      <c r="H340" s="313"/>
      <c r="I340" s="326"/>
      <c r="J340" s="168">
        <v>3.45</v>
      </c>
      <c r="K340" s="187">
        <f t="shared" ref="K340:K354" si="49">IF(I340=1,(ROUNDUP((J340*0.05+J340),3)),ROUNDUP((J340*0.05+J340),3))</f>
        <v>3.6229999999999998</v>
      </c>
      <c r="L340" s="187" t="str">
        <f t="shared" ref="L340:L345" si="50">IF(I340=1,"-",IF(AND(I340="",L338="-"),"-",ROUNDUP((J340*0.2)+J340,3)))</f>
        <v>-</v>
      </c>
      <c r="M340" s="215"/>
      <c r="N340"/>
      <c r="O340"/>
      <c r="P340"/>
      <c r="Q340"/>
      <c r="R340"/>
      <c r="S340"/>
      <c r="T340"/>
      <c r="U340"/>
      <c r="V340"/>
      <c r="W340"/>
      <c r="X340"/>
      <c r="Y340"/>
      <c r="Z340"/>
      <c r="AA340"/>
      <c r="AB340"/>
      <c r="AC340"/>
      <c r="AD340"/>
      <c r="AE340"/>
      <c r="AF340"/>
      <c r="AG340"/>
      <c r="AH340"/>
      <c r="AI340"/>
      <c r="AJ340"/>
      <c r="AK340"/>
      <c r="AL340"/>
      <c r="AM340"/>
      <c r="AN340"/>
      <c r="AO340"/>
      <c r="AP340"/>
    </row>
    <row r="341" spans="1:42" ht="26.1" customHeight="1">
      <c r="A341" s="310"/>
      <c r="B341" s="324"/>
      <c r="C341" s="325"/>
      <c r="D341" s="313"/>
      <c r="E341" s="185" t="s">
        <v>39</v>
      </c>
      <c r="F341" s="185" t="s">
        <v>62</v>
      </c>
      <c r="G341" s="185" t="s">
        <v>40</v>
      </c>
      <c r="H341" s="313"/>
      <c r="I341" s="326"/>
      <c r="J341" s="168">
        <v>3.1</v>
      </c>
      <c r="K341" s="187">
        <f t="shared" si="49"/>
        <v>3.2549999999999999</v>
      </c>
      <c r="L341" s="187" t="str">
        <f t="shared" si="50"/>
        <v>-</v>
      </c>
      <c r="M341" s="215"/>
    </row>
    <row r="342" spans="1:42" s="6" customFormat="1" ht="26.1" customHeight="1">
      <c r="A342" s="310"/>
      <c r="B342" s="324"/>
      <c r="C342" s="325"/>
      <c r="D342" s="313"/>
      <c r="E342" s="185" t="s">
        <v>39</v>
      </c>
      <c r="F342" s="185" t="s">
        <v>78</v>
      </c>
      <c r="G342" s="185" t="s">
        <v>40</v>
      </c>
      <c r="H342" s="313"/>
      <c r="I342" s="326"/>
      <c r="J342" s="168">
        <v>3.3</v>
      </c>
      <c r="K342" s="187">
        <f t="shared" si="49"/>
        <v>3.4649999999999999</v>
      </c>
      <c r="L342" s="187" t="str">
        <f t="shared" si="50"/>
        <v>-</v>
      </c>
      <c r="M342" s="215"/>
      <c r="N342"/>
      <c r="O342"/>
      <c r="P342"/>
      <c r="Q342"/>
      <c r="R342"/>
      <c r="S342"/>
      <c r="T342"/>
      <c r="U342"/>
      <c r="V342"/>
      <c r="W342"/>
      <c r="X342"/>
      <c r="Y342"/>
      <c r="Z342"/>
      <c r="AA342"/>
      <c r="AB342"/>
      <c r="AC342"/>
      <c r="AD342"/>
      <c r="AE342"/>
      <c r="AF342"/>
      <c r="AG342"/>
      <c r="AH342"/>
      <c r="AI342"/>
      <c r="AJ342"/>
      <c r="AK342"/>
      <c r="AL342"/>
      <c r="AM342"/>
      <c r="AN342"/>
      <c r="AO342"/>
      <c r="AP342"/>
    </row>
    <row r="343" spans="1:42" ht="26.1" customHeight="1">
      <c r="A343" s="310"/>
      <c r="B343" s="324"/>
      <c r="C343" s="325"/>
      <c r="D343" s="313"/>
      <c r="E343" s="185" t="s">
        <v>39</v>
      </c>
      <c r="F343" s="185" t="s">
        <v>79</v>
      </c>
      <c r="G343" s="185" t="s">
        <v>40</v>
      </c>
      <c r="H343" s="185"/>
      <c r="I343" s="191"/>
      <c r="J343" s="168">
        <v>4.05</v>
      </c>
      <c r="K343" s="187">
        <f t="shared" si="49"/>
        <v>4.2530000000000001</v>
      </c>
      <c r="L343" s="187" t="str">
        <f t="shared" si="50"/>
        <v>-</v>
      </c>
      <c r="M343" s="215"/>
    </row>
    <row r="344" spans="1:42" s="6" customFormat="1" ht="26.1" customHeight="1">
      <c r="A344" s="223">
        <v>202</v>
      </c>
      <c r="B344" s="222" t="s">
        <v>53</v>
      </c>
      <c r="C344" s="221">
        <v>1218</v>
      </c>
      <c r="D344" s="220" t="s">
        <v>47</v>
      </c>
      <c r="E344" s="61" t="s">
        <v>41</v>
      </c>
      <c r="F344" s="61" t="s">
        <v>62</v>
      </c>
      <c r="G344" s="61" t="s">
        <v>44</v>
      </c>
      <c r="H344" s="220">
        <v>50</v>
      </c>
      <c r="I344" s="290">
        <v>1</v>
      </c>
      <c r="J344" s="102">
        <v>2.75</v>
      </c>
      <c r="K344" s="103">
        <f t="shared" si="49"/>
        <v>2.8879999999999999</v>
      </c>
      <c r="L344" s="103" t="str">
        <f t="shared" si="50"/>
        <v>-</v>
      </c>
      <c r="M344" s="215"/>
      <c r="N344"/>
      <c r="O344"/>
      <c r="P344"/>
    </row>
    <row r="345" spans="1:42" s="6" customFormat="1" ht="26.1" customHeight="1">
      <c r="A345" s="223"/>
      <c r="B345" s="222"/>
      <c r="C345" s="221"/>
      <c r="D345" s="220"/>
      <c r="E345" s="61" t="s">
        <v>41</v>
      </c>
      <c r="F345" s="61" t="s">
        <v>78</v>
      </c>
      <c r="G345" s="61" t="s">
        <v>44</v>
      </c>
      <c r="H345" s="220"/>
      <c r="I345" s="290"/>
      <c r="J345" s="102">
        <v>3.15</v>
      </c>
      <c r="K345" s="103">
        <f t="shared" si="49"/>
        <v>3.3079999999999998</v>
      </c>
      <c r="L345" s="103" t="str">
        <f t="shared" si="50"/>
        <v>-</v>
      </c>
      <c r="M345" s="215"/>
      <c r="N345"/>
      <c r="O345"/>
      <c r="P345"/>
    </row>
    <row r="346" spans="1:42" s="6" customFormat="1" ht="26.1" customHeight="1">
      <c r="A346" s="223"/>
      <c r="B346" s="222"/>
      <c r="C346" s="221"/>
      <c r="D346" s="220"/>
      <c r="E346" s="61" t="s">
        <v>41</v>
      </c>
      <c r="F346" s="61" t="s">
        <v>62</v>
      </c>
      <c r="G346" s="61" t="s">
        <v>40</v>
      </c>
      <c r="H346" s="220"/>
      <c r="I346" s="290"/>
      <c r="J346" s="102">
        <v>3.1</v>
      </c>
      <c r="K346" s="103">
        <f t="shared" si="49"/>
        <v>3.2549999999999999</v>
      </c>
      <c r="L346" s="103" t="str">
        <f t="shared" ref="L346:L354" si="51">IF(I346=1,"-",IF(AND(I346="",L345="-"),"-",ROUNDUP((J346*0.2)+J346,3)))</f>
        <v>-</v>
      </c>
      <c r="M346" s="215"/>
      <c r="N346"/>
      <c r="O346"/>
      <c r="P346"/>
    </row>
    <row r="347" spans="1:42" s="6" customFormat="1" ht="26.1" customHeight="1">
      <c r="A347" s="223"/>
      <c r="B347" s="222"/>
      <c r="C347" s="221"/>
      <c r="D347" s="220"/>
      <c r="E347" s="61" t="s">
        <v>41</v>
      </c>
      <c r="F347" s="61" t="s">
        <v>78</v>
      </c>
      <c r="G347" s="61" t="s">
        <v>40</v>
      </c>
      <c r="H347" s="220"/>
      <c r="I347" s="290"/>
      <c r="J347" s="102">
        <v>3.3</v>
      </c>
      <c r="K347" s="103">
        <f t="shared" si="49"/>
        <v>3.4649999999999999</v>
      </c>
      <c r="L347" s="103" t="str">
        <f t="shared" si="51"/>
        <v>-</v>
      </c>
      <c r="M347" s="215"/>
      <c r="N347"/>
      <c r="O347"/>
      <c r="P347"/>
    </row>
    <row r="348" spans="1:42" s="6" customFormat="1" ht="26.1" customHeight="1">
      <c r="A348" s="310">
        <v>202</v>
      </c>
      <c r="B348" s="324" t="s">
        <v>53</v>
      </c>
      <c r="C348" s="325">
        <v>1204</v>
      </c>
      <c r="D348" s="313" t="s">
        <v>77</v>
      </c>
      <c r="E348" s="185" t="s">
        <v>39</v>
      </c>
      <c r="F348" s="185" t="s">
        <v>80</v>
      </c>
      <c r="G348" s="185" t="s">
        <v>44</v>
      </c>
      <c r="H348" s="313">
        <v>50</v>
      </c>
      <c r="I348" s="326">
        <v>1</v>
      </c>
      <c r="J348" s="168">
        <v>2.75</v>
      </c>
      <c r="K348" s="187">
        <f t="shared" si="49"/>
        <v>2.8879999999999999</v>
      </c>
      <c r="L348" s="187" t="str">
        <f t="shared" si="51"/>
        <v>-</v>
      </c>
      <c r="M348" s="215"/>
      <c r="N348"/>
      <c r="O348"/>
      <c r="P348"/>
      <c r="Q348"/>
      <c r="R348"/>
      <c r="S348"/>
      <c r="T348"/>
      <c r="U348"/>
      <c r="V348"/>
      <c r="W348"/>
      <c r="X348"/>
      <c r="Y348"/>
      <c r="Z348"/>
      <c r="AA348"/>
      <c r="AB348"/>
      <c r="AC348"/>
      <c r="AD348"/>
      <c r="AE348"/>
      <c r="AF348"/>
      <c r="AG348"/>
      <c r="AH348"/>
      <c r="AI348"/>
      <c r="AJ348"/>
      <c r="AK348"/>
      <c r="AL348"/>
      <c r="AM348"/>
      <c r="AN348"/>
      <c r="AO348"/>
      <c r="AP348"/>
    </row>
    <row r="349" spans="1:42" ht="26.1" customHeight="1">
      <c r="A349" s="310"/>
      <c r="B349" s="324"/>
      <c r="C349" s="325"/>
      <c r="D349" s="313"/>
      <c r="E349" s="185" t="s">
        <v>39</v>
      </c>
      <c r="F349" s="185" t="s">
        <v>78</v>
      </c>
      <c r="G349" s="185" t="s">
        <v>44</v>
      </c>
      <c r="H349" s="313"/>
      <c r="I349" s="326"/>
      <c r="J349" s="168">
        <v>3.15</v>
      </c>
      <c r="K349" s="187">
        <f t="shared" si="49"/>
        <v>3.3079999999999998</v>
      </c>
      <c r="L349" s="187" t="str">
        <f t="shared" si="51"/>
        <v>-</v>
      </c>
      <c r="M349" s="215"/>
    </row>
    <row r="350" spans="1:42" ht="26.1" customHeight="1">
      <c r="A350" s="310"/>
      <c r="B350" s="324"/>
      <c r="C350" s="325"/>
      <c r="D350" s="313"/>
      <c r="E350" s="185" t="s">
        <v>39</v>
      </c>
      <c r="F350" s="185" t="s">
        <v>80</v>
      </c>
      <c r="G350" s="185" t="s">
        <v>40</v>
      </c>
      <c r="H350" s="313"/>
      <c r="I350" s="326"/>
      <c r="J350" s="168">
        <v>3.1</v>
      </c>
      <c r="K350" s="187">
        <f t="shared" si="49"/>
        <v>3.2549999999999999</v>
      </c>
      <c r="L350" s="187" t="str">
        <f t="shared" si="51"/>
        <v>-</v>
      </c>
      <c r="M350" s="215"/>
    </row>
    <row r="351" spans="1:42" s="6" customFormat="1" ht="26.1" customHeight="1">
      <c r="A351" s="310"/>
      <c r="B351" s="324"/>
      <c r="C351" s="325"/>
      <c r="D351" s="313"/>
      <c r="E351" s="185" t="s">
        <v>39</v>
      </c>
      <c r="F351" s="185" t="s">
        <v>78</v>
      </c>
      <c r="G351" s="185" t="s">
        <v>40</v>
      </c>
      <c r="H351" s="313"/>
      <c r="I351" s="326"/>
      <c r="J351" s="168">
        <v>3.3</v>
      </c>
      <c r="K351" s="187">
        <f t="shared" si="49"/>
        <v>3.4649999999999999</v>
      </c>
      <c r="L351" s="187" t="str">
        <f t="shared" si="51"/>
        <v>-</v>
      </c>
      <c r="M351" s="215"/>
      <c r="N351"/>
      <c r="O351"/>
      <c r="P351"/>
    </row>
    <row r="352" spans="1:42" s="6" customFormat="1" ht="26.1" customHeight="1">
      <c r="A352" s="310"/>
      <c r="B352" s="324"/>
      <c r="C352" s="325"/>
      <c r="D352" s="313"/>
      <c r="E352" s="185" t="s">
        <v>39</v>
      </c>
      <c r="F352" s="185" t="s">
        <v>79</v>
      </c>
      <c r="G352" s="185" t="s">
        <v>102</v>
      </c>
      <c r="H352" s="313"/>
      <c r="I352" s="326"/>
      <c r="J352" s="168">
        <v>3.85</v>
      </c>
      <c r="K352" s="187">
        <f t="shared" si="49"/>
        <v>4.0430000000000001</v>
      </c>
      <c r="L352" s="187" t="str">
        <f t="shared" si="51"/>
        <v>-</v>
      </c>
      <c r="M352" s="215"/>
      <c r="N352"/>
      <c r="O352"/>
      <c r="P352"/>
      <c r="Q352"/>
      <c r="R352"/>
      <c r="S352"/>
      <c r="T352"/>
      <c r="U352"/>
      <c r="V352"/>
      <c r="W352"/>
      <c r="X352"/>
      <c r="Y352"/>
      <c r="Z352"/>
      <c r="AA352"/>
      <c r="AB352"/>
      <c r="AC352"/>
      <c r="AD352"/>
      <c r="AE352"/>
      <c r="AF352"/>
      <c r="AG352"/>
      <c r="AH352"/>
      <c r="AI352"/>
      <c r="AJ352"/>
      <c r="AK352"/>
      <c r="AL352"/>
      <c r="AM352"/>
      <c r="AN352"/>
      <c r="AO352"/>
      <c r="AP352"/>
    </row>
    <row r="353" spans="1:16" ht="26.1" customHeight="1">
      <c r="A353" s="223">
        <v>202</v>
      </c>
      <c r="B353" s="222" t="s">
        <v>53</v>
      </c>
      <c r="C353" s="221">
        <v>1219</v>
      </c>
      <c r="D353" s="220" t="s">
        <v>88</v>
      </c>
      <c r="E353" s="61" t="s">
        <v>107</v>
      </c>
      <c r="F353" s="61" t="s">
        <v>62</v>
      </c>
      <c r="G353" s="61" t="s">
        <v>40</v>
      </c>
      <c r="H353" s="220">
        <v>50</v>
      </c>
      <c r="I353" s="225">
        <v>1</v>
      </c>
      <c r="J353" s="102">
        <v>3.4</v>
      </c>
      <c r="K353" s="103">
        <f t="shared" si="49"/>
        <v>3.57</v>
      </c>
      <c r="L353" s="103" t="str">
        <f t="shared" si="51"/>
        <v>-</v>
      </c>
      <c r="M353" s="215"/>
    </row>
    <row r="354" spans="1:16" ht="26.1" customHeight="1">
      <c r="A354" s="223"/>
      <c r="B354" s="222"/>
      <c r="C354" s="221"/>
      <c r="D354" s="220"/>
      <c r="E354" s="61" t="s">
        <v>107</v>
      </c>
      <c r="F354" s="61" t="s">
        <v>78</v>
      </c>
      <c r="G354" s="61" t="s">
        <v>40</v>
      </c>
      <c r="H354" s="220"/>
      <c r="I354" s="225"/>
      <c r="J354" s="102">
        <v>3.95</v>
      </c>
      <c r="K354" s="103">
        <f t="shared" si="49"/>
        <v>4.1480000000000006</v>
      </c>
      <c r="L354" s="103" t="str">
        <f t="shared" si="51"/>
        <v>-</v>
      </c>
      <c r="M354" s="215"/>
    </row>
    <row r="355" spans="1:16" ht="26.1" customHeight="1">
      <c r="A355" s="310">
        <v>203</v>
      </c>
      <c r="B355" s="311" t="s">
        <v>53</v>
      </c>
      <c r="C355" s="312" t="s">
        <v>170</v>
      </c>
      <c r="D355" s="313" t="s">
        <v>171</v>
      </c>
      <c r="E355" s="185" t="s">
        <v>107</v>
      </c>
      <c r="F355" s="185" t="s">
        <v>80</v>
      </c>
      <c r="G355" s="185" t="s">
        <v>40</v>
      </c>
      <c r="H355" s="313">
        <v>50</v>
      </c>
      <c r="I355" s="314">
        <v>1</v>
      </c>
      <c r="J355" s="168">
        <v>2.4500000000000002</v>
      </c>
      <c r="K355" s="187">
        <f t="shared" si="36"/>
        <v>2.573</v>
      </c>
      <c r="L355" s="187" t="str">
        <f>IF(I355=1,"-",IF(AND(I355="",L272="-"),"-",ROUNDUP((J355*0.2)+J355,3)))</f>
        <v>-</v>
      </c>
      <c r="M355" s="215"/>
    </row>
    <row r="356" spans="1:16" s="51" customFormat="1" ht="24.95" customHeight="1">
      <c r="A356" s="310"/>
      <c r="B356" s="311"/>
      <c r="C356" s="312"/>
      <c r="D356" s="313"/>
      <c r="E356" s="185" t="s">
        <v>107</v>
      </c>
      <c r="F356" s="185" t="s">
        <v>78</v>
      </c>
      <c r="G356" s="185" t="s">
        <v>40</v>
      </c>
      <c r="H356" s="313"/>
      <c r="I356" s="314"/>
      <c r="J356" s="168">
        <v>2.65</v>
      </c>
      <c r="K356" s="187">
        <f t="shared" si="36"/>
        <v>2.7829999999999999</v>
      </c>
      <c r="L356" s="187" t="str">
        <f t="shared" si="38"/>
        <v>-</v>
      </c>
      <c r="M356" s="215"/>
      <c r="N356"/>
      <c r="O356"/>
      <c r="P356"/>
    </row>
    <row r="357" spans="1:16" ht="26.1" customHeight="1">
      <c r="A357" s="223">
        <v>204</v>
      </c>
      <c r="B357" s="222" t="s">
        <v>53</v>
      </c>
      <c r="C357" s="221">
        <v>6635</v>
      </c>
      <c r="D357" s="220" t="s">
        <v>298</v>
      </c>
      <c r="E357" s="213" t="s">
        <v>39</v>
      </c>
      <c r="F357" s="112" t="s">
        <v>62</v>
      </c>
      <c r="G357" s="214" t="s">
        <v>44</v>
      </c>
      <c r="H357" s="220">
        <v>25</v>
      </c>
      <c r="I357" s="290">
        <v>1</v>
      </c>
      <c r="J357" s="102">
        <v>5.6</v>
      </c>
      <c r="K357" s="103">
        <f>IF(I357=1,(ROUNDUP((J357*0.05+J357),3)),ROUNDUP((J357*0.05+J357),3))</f>
        <v>5.88</v>
      </c>
      <c r="L357" s="103" t="str">
        <f>IF(I357=1,"-",IF(AND(I357="",#REF!="-"),"-",ROUNDUP((J357*0.2)+J357,3)))</f>
        <v>-</v>
      </c>
      <c r="M357" s="215"/>
    </row>
    <row r="358" spans="1:16" s="6" customFormat="1" ht="26.1" customHeight="1">
      <c r="A358" s="223"/>
      <c r="B358" s="222"/>
      <c r="C358" s="221"/>
      <c r="D358" s="220"/>
      <c r="E358" s="213" t="s">
        <v>39</v>
      </c>
      <c r="F358" s="112" t="s">
        <v>78</v>
      </c>
      <c r="G358" s="214" t="s">
        <v>44</v>
      </c>
      <c r="H358" s="220"/>
      <c r="I358" s="290"/>
      <c r="J358" s="102">
        <v>6.7</v>
      </c>
      <c r="K358" s="103">
        <f t="shared" ref="K358:K367" si="52">IF(I358=1,(ROUNDUP((J358*0.05+J358),3)),ROUNDUP((J358*0.05+J358),3))</f>
        <v>7.0350000000000001</v>
      </c>
      <c r="L358" s="103" t="str">
        <f t="shared" ref="L358:L371" si="53">IF(I358=1,"-",IF(AND(I358="",L357="-"),"-",ROUNDUP((J358*0.2)+J358,3)))</f>
        <v>-</v>
      </c>
      <c r="M358" s="215"/>
      <c r="N358"/>
      <c r="O358"/>
      <c r="P358"/>
    </row>
    <row r="359" spans="1:16" s="6" customFormat="1" ht="26.1" customHeight="1">
      <c r="A359" s="223"/>
      <c r="B359" s="222"/>
      <c r="C359" s="221"/>
      <c r="D359" s="220"/>
      <c r="E359" s="213" t="s">
        <v>39</v>
      </c>
      <c r="F359" s="112" t="s">
        <v>79</v>
      </c>
      <c r="G359" s="214" t="s">
        <v>44</v>
      </c>
      <c r="H359" s="220"/>
      <c r="I359" s="290"/>
      <c r="J359" s="102">
        <v>7.05</v>
      </c>
      <c r="K359" s="103">
        <f t="shared" ref="K359:K362" si="54">IF(I359=1,(ROUNDUP((J359*0.05+J359),3)),ROUNDUP((J359*0.05+J359),3))</f>
        <v>7.4030000000000005</v>
      </c>
      <c r="L359" s="103" t="str">
        <f t="shared" ref="L359:L362" si="55">IF(I359=1,"-",IF(AND(I359="",L358="-"),"-",ROUNDUP((J359*0.2)+J359,3)))</f>
        <v>-</v>
      </c>
      <c r="M359" s="215"/>
      <c r="N359"/>
      <c r="O359"/>
      <c r="P359"/>
    </row>
    <row r="360" spans="1:16" s="6" customFormat="1" ht="26.1" customHeight="1">
      <c r="A360" s="223"/>
      <c r="B360" s="222"/>
      <c r="C360" s="221"/>
      <c r="D360" s="220"/>
      <c r="E360" s="213" t="s">
        <v>39</v>
      </c>
      <c r="F360" s="112" t="s">
        <v>62</v>
      </c>
      <c r="G360" s="214" t="s">
        <v>40</v>
      </c>
      <c r="H360" s="220"/>
      <c r="I360" s="290"/>
      <c r="J360" s="102">
        <v>6.2</v>
      </c>
      <c r="K360" s="103">
        <f t="shared" si="54"/>
        <v>6.51</v>
      </c>
      <c r="L360" s="103" t="str">
        <f t="shared" si="55"/>
        <v>-</v>
      </c>
      <c r="M360" s="215"/>
      <c r="N360"/>
      <c r="O360"/>
      <c r="P360"/>
    </row>
    <row r="361" spans="1:16" ht="26.1" customHeight="1">
      <c r="A361" s="223"/>
      <c r="B361" s="222"/>
      <c r="C361" s="221"/>
      <c r="D361" s="220"/>
      <c r="E361" s="213" t="s">
        <v>39</v>
      </c>
      <c r="F361" s="112" t="s">
        <v>78</v>
      </c>
      <c r="G361" s="214" t="s">
        <v>40</v>
      </c>
      <c r="H361" s="220"/>
      <c r="I361" s="290"/>
      <c r="J361" s="102">
        <v>7.4</v>
      </c>
      <c r="K361" s="103">
        <f t="shared" si="54"/>
        <v>7.77</v>
      </c>
      <c r="L361" s="103" t="str">
        <f t="shared" si="55"/>
        <v>-</v>
      </c>
      <c r="M361" s="215"/>
    </row>
    <row r="362" spans="1:16" ht="26.1" customHeight="1">
      <c r="A362" s="223"/>
      <c r="B362" s="222"/>
      <c r="C362" s="221"/>
      <c r="D362" s="220"/>
      <c r="E362" s="213" t="s">
        <v>39</v>
      </c>
      <c r="F362" s="112" t="s">
        <v>79</v>
      </c>
      <c r="G362" s="214" t="s">
        <v>40</v>
      </c>
      <c r="H362" s="61"/>
      <c r="I362" s="65"/>
      <c r="J362" s="102">
        <v>7.8</v>
      </c>
      <c r="K362" s="103">
        <f t="shared" si="54"/>
        <v>8.19</v>
      </c>
      <c r="L362" s="103" t="str">
        <f t="shared" si="55"/>
        <v>-</v>
      </c>
      <c r="M362" s="215"/>
    </row>
    <row r="363" spans="1:16" ht="26.1" customHeight="1">
      <c r="A363" s="310">
        <v>204</v>
      </c>
      <c r="B363" s="324" t="s">
        <v>53</v>
      </c>
      <c r="C363" s="325">
        <v>6636</v>
      </c>
      <c r="D363" s="313" t="s">
        <v>45</v>
      </c>
      <c r="E363" s="185" t="s">
        <v>41</v>
      </c>
      <c r="F363" s="185" t="s">
        <v>62</v>
      </c>
      <c r="G363" s="185" t="s">
        <v>44</v>
      </c>
      <c r="H363" s="313">
        <v>25</v>
      </c>
      <c r="I363" s="326">
        <v>1</v>
      </c>
      <c r="J363" s="168">
        <v>5.6</v>
      </c>
      <c r="K363" s="187">
        <f t="shared" si="52"/>
        <v>5.88</v>
      </c>
      <c r="L363" s="187" t="str">
        <f>IF(I363=1,"-",IF(AND(I363="",L361="-"),"-",ROUNDUP((J363*0.2)+J363,3)))</f>
        <v>-</v>
      </c>
      <c r="M363" s="215"/>
    </row>
    <row r="364" spans="1:16" ht="34.5" customHeight="1">
      <c r="A364" s="310"/>
      <c r="B364" s="324"/>
      <c r="C364" s="325"/>
      <c r="D364" s="313"/>
      <c r="E364" s="185" t="s">
        <v>41</v>
      </c>
      <c r="F364" s="185" t="s">
        <v>78</v>
      </c>
      <c r="G364" s="185" t="s">
        <v>44</v>
      </c>
      <c r="H364" s="313"/>
      <c r="I364" s="326"/>
      <c r="J364" s="168">
        <v>6.7</v>
      </c>
      <c r="K364" s="187">
        <f t="shared" si="52"/>
        <v>7.0350000000000001</v>
      </c>
      <c r="L364" s="187" t="str">
        <f t="shared" si="53"/>
        <v>-</v>
      </c>
      <c r="M364" s="215"/>
    </row>
    <row r="365" spans="1:16" s="6" customFormat="1" ht="21.75" customHeight="1">
      <c r="A365" s="310"/>
      <c r="B365" s="324"/>
      <c r="C365" s="325"/>
      <c r="D365" s="313"/>
      <c r="E365" s="185" t="s">
        <v>41</v>
      </c>
      <c r="F365" s="185" t="s">
        <v>62</v>
      </c>
      <c r="G365" s="185" t="s">
        <v>40</v>
      </c>
      <c r="H365" s="313"/>
      <c r="I365" s="326"/>
      <c r="J365" s="168">
        <v>6.2</v>
      </c>
      <c r="K365" s="187">
        <f t="shared" si="52"/>
        <v>6.51</v>
      </c>
      <c r="L365" s="187" t="str">
        <f t="shared" si="53"/>
        <v>-</v>
      </c>
      <c r="M365" s="215"/>
      <c r="N365"/>
      <c r="O365"/>
      <c r="P365"/>
    </row>
    <row r="366" spans="1:16" ht="26.1" customHeight="1">
      <c r="A366" s="310"/>
      <c r="B366" s="324"/>
      <c r="C366" s="325"/>
      <c r="D366" s="313"/>
      <c r="E366" s="185" t="s">
        <v>41</v>
      </c>
      <c r="F366" s="185" t="s">
        <v>78</v>
      </c>
      <c r="G366" s="185" t="s">
        <v>40</v>
      </c>
      <c r="H366" s="313"/>
      <c r="I366" s="326"/>
      <c r="J366" s="168">
        <v>7.4</v>
      </c>
      <c r="K366" s="187">
        <f t="shared" si="52"/>
        <v>7.77</v>
      </c>
      <c r="L366" s="187" t="str">
        <f t="shared" si="53"/>
        <v>-</v>
      </c>
      <c r="M366" s="215"/>
    </row>
    <row r="367" spans="1:16" ht="26.1" customHeight="1">
      <c r="A367" s="223">
        <v>204</v>
      </c>
      <c r="B367" s="222" t="s">
        <v>53</v>
      </c>
      <c r="C367" s="221">
        <v>5009</v>
      </c>
      <c r="D367" s="220" t="s">
        <v>299</v>
      </c>
      <c r="E367" s="61" t="s">
        <v>39</v>
      </c>
      <c r="F367" s="61" t="s">
        <v>62</v>
      </c>
      <c r="G367" s="61" t="s">
        <v>44</v>
      </c>
      <c r="H367" s="220">
        <v>25</v>
      </c>
      <c r="I367" s="290">
        <v>1</v>
      </c>
      <c r="J367" s="102">
        <v>5.4</v>
      </c>
      <c r="K367" s="103">
        <f t="shared" si="52"/>
        <v>5.67</v>
      </c>
      <c r="L367" s="103" t="str">
        <f t="shared" si="53"/>
        <v>-</v>
      </c>
      <c r="M367" s="215"/>
    </row>
    <row r="368" spans="1:16" ht="26.1" customHeight="1">
      <c r="A368" s="223"/>
      <c r="B368" s="222"/>
      <c r="C368" s="221"/>
      <c r="D368" s="220"/>
      <c r="E368" s="61" t="s">
        <v>39</v>
      </c>
      <c r="F368" s="61" t="s">
        <v>62</v>
      </c>
      <c r="G368" s="61" t="s">
        <v>40</v>
      </c>
      <c r="H368" s="220"/>
      <c r="I368" s="290"/>
      <c r="J368" s="102">
        <v>6.5</v>
      </c>
      <c r="K368" s="103">
        <f t="shared" ref="K368:K374" si="56">IF(I368=1,(ROUNDUP((J368*0.05+J368),3)),ROUNDUP((J368*0.05+J368),3))</f>
        <v>6.8250000000000002</v>
      </c>
      <c r="L368" s="103" t="str">
        <f t="shared" si="53"/>
        <v>-</v>
      </c>
      <c r="M368" s="215"/>
    </row>
    <row r="369" spans="1:254" ht="26.1" customHeight="1">
      <c r="A369" s="223"/>
      <c r="B369" s="222"/>
      <c r="C369" s="221"/>
      <c r="D369" s="220"/>
      <c r="E369" s="61" t="s">
        <v>39</v>
      </c>
      <c r="F369" s="61" t="s">
        <v>78</v>
      </c>
      <c r="G369" s="61" t="s">
        <v>102</v>
      </c>
      <c r="H369" s="220"/>
      <c r="I369" s="290"/>
      <c r="J369" s="102">
        <v>7.18</v>
      </c>
      <c r="K369" s="103">
        <f t="shared" si="56"/>
        <v>7.5389999999999997</v>
      </c>
      <c r="L369" s="103" t="str">
        <f t="shared" si="53"/>
        <v>-</v>
      </c>
      <c r="M369" s="215"/>
    </row>
    <row r="370" spans="1:254" ht="26.1" customHeight="1">
      <c r="A370" s="310">
        <v>206</v>
      </c>
      <c r="B370" s="324" t="s">
        <v>53</v>
      </c>
      <c r="C370" s="325">
        <v>1070</v>
      </c>
      <c r="D370" s="313" t="s">
        <v>300</v>
      </c>
      <c r="E370" s="185" t="s">
        <v>107</v>
      </c>
      <c r="F370" s="185" t="s">
        <v>80</v>
      </c>
      <c r="G370" s="185" t="s">
        <v>84</v>
      </c>
      <c r="H370" s="313">
        <v>30</v>
      </c>
      <c r="I370" s="314">
        <v>1</v>
      </c>
      <c r="J370" s="168">
        <v>5.95</v>
      </c>
      <c r="K370" s="187">
        <f t="shared" si="56"/>
        <v>6.2480000000000002</v>
      </c>
      <c r="L370" s="187" t="str">
        <f t="shared" si="53"/>
        <v>-</v>
      </c>
      <c r="M370" s="215"/>
    </row>
    <row r="371" spans="1:254" ht="26.1" customHeight="1">
      <c r="A371" s="310"/>
      <c r="B371" s="324"/>
      <c r="C371" s="325"/>
      <c r="D371" s="313"/>
      <c r="E371" s="185" t="s">
        <v>107</v>
      </c>
      <c r="F371" s="185" t="s">
        <v>78</v>
      </c>
      <c r="G371" s="185" t="s">
        <v>84</v>
      </c>
      <c r="H371" s="313"/>
      <c r="I371" s="314"/>
      <c r="J371" s="168">
        <v>6.5</v>
      </c>
      <c r="K371" s="187">
        <f t="shared" si="56"/>
        <v>6.8250000000000002</v>
      </c>
      <c r="L371" s="187" t="str">
        <f t="shared" si="53"/>
        <v>-</v>
      </c>
      <c r="M371" s="215"/>
    </row>
    <row r="372" spans="1:254" ht="26.1" customHeight="1">
      <c r="A372" s="223">
        <v>206</v>
      </c>
      <c r="B372" s="222" t="s">
        <v>53</v>
      </c>
      <c r="C372" s="221">
        <v>1117</v>
      </c>
      <c r="D372" s="220" t="s">
        <v>109</v>
      </c>
      <c r="E372" s="61" t="s">
        <v>39</v>
      </c>
      <c r="F372" s="61" t="s">
        <v>80</v>
      </c>
      <c r="G372" s="61" t="s">
        <v>40</v>
      </c>
      <c r="H372" s="220">
        <v>30</v>
      </c>
      <c r="I372" s="290">
        <v>1</v>
      </c>
      <c r="J372" s="102">
        <v>8.85</v>
      </c>
      <c r="K372" s="103">
        <f t="shared" si="56"/>
        <v>9.2929999999999993</v>
      </c>
      <c r="L372" s="103" t="str">
        <f>IF(I372=1,"-",IF(AND(I372="",L374="-"),"-",ROUNDUP((J372*0.2)+J372,3)))</f>
        <v>-</v>
      </c>
      <c r="M372" s="215"/>
    </row>
    <row r="373" spans="1:254" s="87" customFormat="1" ht="24.95" customHeight="1">
      <c r="A373" s="223"/>
      <c r="B373" s="222"/>
      <c r="C373" s="221"/>
      <c r="D373" s="220"/>
      <c r="E373" s="61" t="s">
        <v>39</v>
      </c>
      <c r="F373" s="61" t="s">
        <v>78</v>
      </c>
      <c r="G373" s="61" t="s">
        <v>40</v>
      </c>
      <c r="H373" s="220"/>
      <c r="I373" s="290"/>
      <c r="J373" s="102">
        <v>9.76</v>
      </c>
      <c r="K373" s="103">
        <f t="shared" si="56"/>
        <v>10.247999999999999</v>
      </c>
      <c r="L373" s="103" t="str">
        <f>IF(I373=1,"-",IF(AND(I373="",L372="-"),"-",ROUNDUP((J373*0.2)+J373,3)))</f>
        <v>-</v>
      </c>
      <c r="M373" s="215"/>
      <c r="N373"/>
      <c r="O373"/>
      <c r="P373"/>
      <c r="Q373"/>
      <c r="R373" t="s">
        <v>83</v>
      </c>
      <c r="S373"/>
      <c r="T373"/>
      <c r="U373"/>
      <c r="V373"/>
      <c r="W373"/>
      <c r="X373"/>
      <c r="Y373"/>
      <c r="Z373"/>
      <c r="AA373"/>
      <c r="AB373"/>
      <c r="AC373"/>
      <c r="AD373"/>
      <c r="AE373"/>
      <c r="AF373"/>
      <c r="AG373"/>
      <c r="AH373"/>
      <c r="AI373"/>
      <c r="AJ373"/>
      <c r="AK373"/>
      <c r="AL373"/>
      <c r="AM373"/>
      <c r="AN373"/>
      <c r="AO373"/>
      <c r="AP373"/>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c r="CA373" s="11"/>
      <c r="CB373" s="11"/>
      <c r="CC373" s="11"/>
      <c r="CD373" s="11"/>
      <c r="CE373" s="11"/>
      <c r="CF373" s="11"/>
      <c r="CG373" s="11"/>
      <c r="CH373" s="11"/>
      <c r="CI373" s="11"/>
      <c r="CJ373" s="11"/>
      <c r="CK373" s="11"/>
      <c r="CL373" s="11"/>
      <c r="CM373" s="11"/>
      <c r="CN373" s="11"/>
      <c r="CO373" s="11"/>
      <c r="CP373" s="11"/>
      <c r="CQ373" s="11"/>
      <c r="CR373" s="11"/>
      <c r="CS373" s="11"/>
      <c r="CT373" s="11"/>
      <c r="CU373" s="11"/>
      <c r="CV373" s="11"/>
      <c r="CW373" s="11"/>
      <c r="CX373" s="11"/>
      <c r="CY373" s="11"/>
      <c r="CZ373" s="11"/>
      <c r="DA373" s="11"/>
      <c r="DB373" s="11"/>
      <c r="DC373" s="11"/>
      <c r="DD373" s="11"/>
      <c r="DE373" s="11"/>
      <c r="DF373" s="11"/>
      <c r="DG373" s="11"/>
      <c r="DH373" s="11"/>
      <c r="DI373" s="11"/>
      <c r="DJ373" s="11"/>
      <c r="DK373" s="11"/>
      <c r="DL373" s="11"/>
      <c r="DM373" s="11"/>
      <c r="DN373" s="11"/>
      <c r="DO373" s="11"/>
      <c r="DP373" s="11"/>
      <c r="DQ373" s="11"/>
      <c r="DR373" s="11"/>
      <c r="DS373" s="11"/>
      <c r="DT373" s="11"/>
      <c r="DU373" s="11"/>
      <c r="DV373" s="11"/>
      <c r="DW373" s="11"/>
      <c r="DX373" s="11"/>
      <c r="DY373" s="11"/>
      <c r="DZ373" s="11"/>
      <c r="EA373" s="11"/>
      <c r="EB373" s="11"/>
      <c r="EC373" s="11"/>
      <c r="ED373" s="11"/>
      <c r="EE373" s="11"/>
      <c r="EF373" s="11"/>
      <c r="EG373" s="11"/>
      <c r="EH373" s="11"/>
      <c r="EI373" s="11"/>
      <c r="EJ373" s="11"/>
      <c r="EK373" s="11"/>
      <c r="EL373" s="11"/>
      <c r="EM373" s="11"/>
      <c r="EN373" s="11"/>
      <c r="EO373" s="11"/>
      <c r="EP373" s="11"/>
      <c r="EQ373" s="11"/>
      <c r="ER373" s="11"/>
      <c r="ES373" s="11"/>
      <c r="ET373" s="11"/>
      <c r="EU373" s="11"/>
      <c r="EV373" s="11"/>
      <c r="EW373" s="11"/>
      <c r="EX373" s="11"/>
      <c r="EY373" s="11"/>
      <c r="EZ373" s="11"/>
      <c r="FA373" s="11"/>
      <c r="FB373" s="11"/>
      <c r="FC373" s="11"/>
      <c r="FD373" s="11"/>
      <c r="FE373" s="11"/>
      <c r="FF373" s="11"/>
      <c r="FG373" s="11"/>
      <c r="FH373" s="11"/>
      <c r="FI373" s="11"/>
      <c r="FJ373" s="11"/>
      <c r="FK373" s="11"/>
      <c r="FL373" s="11"/>
      <c r="FM373" s="11"/>
      <c r="FN373" s="11"/>
      <c r="FO373" s="11"/>
      <c r="FP373" s="11"/>
      <c r="FQ373" s="11"/>
      <c r="FR373" s="11"/>
      <c r="FS373" s="11"/>
      <c r="FT373" s="11"/>
      <c r="FU373" s="11"/>
      <c r="FV373" s="11"/>
      <c r="FW373" s="11"/>
      <c r="FX373" s="11"/>
      <c r="FY373" s="11"/>
      <c r="FZ373" s="11"/>
      <c r="GA373" s="11"/>
      <c r="GB373" s="11"/>
      <c r="GC373" s="11"/>
      <c r="GD373" s="11"/>
      <c r="GE373" s="11"/>
      <c r="GF373" s="11"/>
      <c r="GG373" s="11"/>
      <c r="GH373" s="11"/>
      <c r="GI373" s="11"/>
      <c r="GJ373" s="11"/>
      <c r="GK373" s="11"/>
      <c r="GL373" s="11"/>
      <c r="GM373" s="11"/>
      <c r="GN373" s="11"/>
      <c r="GO373" s="11"/>
      <c r="GP373" s="11"/>
      <c r="GQ373" s="11"/>
      <c r="GR373" s="11"/>
      <c r="GS373" s="11"/>
      <c r="GT373" s="11"/>
      <c r="GU373" s="11"/>
      <c r="GV373" s="11"/>
      <c r="GW373" s="11"/>
      <c r="GX373" s="11"/>
      <c r="GY373" s="11"/>
      <c r="GZ373" s="11"/>
      <c r="HA373" s="11"/>
      <c r="HB373" s="11"/>
      <c r="HC373" s="11"/>
      <c r="HD373" s="11"/>
      <c r="HE373" s="11"/>
      <c r="HF373" s="11"/>
      <c r="HG373" s="11"/>
      <c r="HH373" s="11"/>
      <c r="HI373" s="11"/>
      <c r="HJ373" s="11"/>
      <c r="HK373" s="11"/>
      <c r="HL373" s="11"/>
      <c r="HM373" s="11"/>
      <c r="HN373" s="11"/>
      <c r="HO373" s="11"/>
      <c r="HP373" s="11"/>
      <c r="HQ373" s="11"/>
      <c r="HR373" s="11"/>
      <c r="HS373" s="11"/>
      <c r="HT373" s="11"/>
      <c r="HU373" s="11"/>
      <c r="HV373" s="11"/>
      <c r="HW373" s="11"/>
      <c r="HX373" s="11"/>
      <c r="HY373" s="11"/>
      <c r="HZ373" s="11"/>
      <c r="IA373" s="11"/>
      <c r="IB373" s="11"/>
      <c r="IC373" s="11"/>
      <c r="ID373" s="11"/>
      <c r="IE373" s="11"/>
      <c r="IF373" s="11"/>
      <c r="IG373" s="11"/>
      <c r="IH373" s="11"/>
      <c r="II373" s="11"/>
      <c r="IJ373" s="11"/>
      <c r="IK373" s="11"/>
      <c r="IL373" s="11"/>
      <c r="IM373" s="11"/>
      <c r="IN373" s="11"/>
      <c r="IO373" s="11"/>
      <c r="IP373" s="11"/>
      <c r="IQ373" s="11"/>
      <c r="IR373" s="11"/>
      <c r="IS373" s="11"/>
      <c r="IT373" s="11"/>
    </row>
    <row r="374" spans="1:254" ht="26.1" customHeight="1">
      <c r="A374" s="310">
        <v>207</v>
      </c>
      <c r="B374" s="324" t="s">
        <v>53</v>
      </c>
      <c r="C374" s="325">
        <v>1109</v>
      </c>
      <c r="D374" s="313" t="s">
        <v>63</v>
      </c>
      <c r="E374" s="185" t="s">
        <v>39</v>
      </c>
      <c r="F374" s="185" t="s">
        <v>62</v>
      </c>
      <c r="G374" s="185" t="s">
        <v>84</v>
      </c>
      <c r="H374" s="313">
        <v>25</v>
      </c>
      <c r="I374" s="314">
        <v>1</v>
      </c>
      <c r="J374" s="168">
        <v>8.5</v>
      </c>
      <c r="K374" s="187">
        <f t="shared" si="56"/>
        <v>8.9250000000000007</v>
      </c>
      <c r="L374" s="187" t="str">
        <f>IF(I374=1,"-",IF(AND(I374="",L375="-"),"-",ROUNDUP((J374*0.2)+J374,3)))</f>
        <v>-</v>
      </c>
      <c r="M374" s="215"/>
    </row>
    <row r="375" spans="1:254" ht="26.1" customHeight="1">
      <c r="A375" s="310"/>
      <c r="B375" s="324"/>
      <c r="C375" s="325"/>
      <c r="D375" s="313"/>
      <c r="E375" s="185" t="s">
        <v>39</v>
      </c>
      <c r="F375" s="185" t="s">
        <v>78</v>
      </c>
      <c r="G375" s="185" t="s">
        <v>84</v>
      </c>
      <c r="H375" s="313"/>
      <c r="I375" s="314"/>
      <c r="J375" s="168">
        <v>9.1999999999999993</v>
      </c>
      <c r="K375" s="187">
        <f t="shared" ref="K375" si="57">IF(I375=1,(ROUNDUP((J375*0.05+J375),3)),ROUNDUP((J375*0.05+J375),3))</f>
        <v>9.66</v>
      </c>
      <c r="L375" s="187" t="str">
        <f>IF(I375=1,"-",IF(AND(I375="",L371="-"),"-",ROUNDUP((J375*0.2)+J375,3)))</f>
        <v>-</v>
      </c>
      <c r="M375" s="215"/>
    </row>
    <row r="376" spans="1:254" s="6" customFormat="1" ht="21.75" customHeight="1">
      <c r="A376" s="223">
        <v>207</v>
      </c>
      <c r="B376" s="222" t="s">
        <v>53</v>
      </c>
      <c r="C376" s="221">
        <v>6439</v>
      </c>
      <c r="D376" s="220" t="s">
        <v>122</v>
      </c>
      <c r="E376" s="61" t="s">
        <v>39</v>
      </c>
      <c r="F376" s="61" t="s">
        <v>62</v>
      </c>
      <c r="G376" s="61" t="s">
        <v>40</v>
      </c>
      <c r="H376" s="220">
        <v>25</v>
      </c>
      <c r="I376" s="290">
        <v>1</v>
      </c>
      <c r="J376" s="102">
        <v>9.5</v>
      </c>
      <c r="K376" s="103">
        <f t="shared" ref="K376:K394" si="58">IF(I376=1,(ROUNDUP((J376*0.05+J376),3)),ROUNDUP((J376*0.05+J376),3))</f>
        <v>9.9749999999999996</v>
      </c>
      <c r="L376" s="103" t="str">
        <f>IF(I376=1,"-",IF(AND(I376="",L373="-"),"-",ROUNDUP((J376*0.2)+J376,3)))</f>
        <v>-</v>
      </c>
      <c r="M376" s="215"/>
      <c r="N376"/>
      <c r="O376"/>
      <c r="P376"/>
      <c r="Q376"/>
      <c r="R376"/>
      <c r="S376"/>
      <c r="T376"/>
      <c r="U376"/>
      <c r="V376"/>
      <c r="W376"/>
      <c r="X376"/>
      <c r="Y376"/>
      <c r="Z376"/>
      <c r="AA376"/>
      <c r="AB376"/>
      <c r="AC376"/>
      <c r="AD376"/>
      <c r="AE376"/>
      <c r="AF376"/>
      <c r="AG376"/>
      <c r="AH376"/>
      <c r="AI376"/>
      <c r="AJ376"/>
      <c r="AK376"/>
      <c r="AL376"/>
      <c r="AM376"/>
    </row>
    <row r="377" spans="1:254" s="6" customFormat="1" ht="21.75" customHeight="1">
      <c r="A377" s="223"/>
      <c r="B377" s="222"/>
      <c r="C377" s="221"/>
      <c r="D377" s="220"/>
      <c r="E377" s="61" t="s">
        <v>39</v>
      </c>
      <c r="F377" s="61" t="s">
        <v>78</v>
      </c>
      <c r="G377" s="61" t="s">
        <v>40</v>
      </c>
      <c r="H377" s="220"/>
      <c r="I377" s="290"/>
      <c r="J377" s="102">
        <v>9.8000000000000007</v>
      </c>
      <c r="K377" s="103">
        <f t="shared" si="58"/>
        <v>10.29</v>
      </c>
      <c r="L377" s="103" t="str">
        <f>IF(I377=1,"-",IF(AND(I377="",L376="-"),"-",ROUNDUP((J377*0.2)+J377,3)))</f>
        <v>-</v>
      </c>
      <c r="M377" s="215"/>
      <c r="N377"/>
      <c r="O377"/>
      <c r="P377"/>
      <c r="Q377"/>
      <c r="R377"/>
      <c r="S377"/>
      <c r="T377"/>
      <c r="U377"/>
      <c r="V377"/>
      <c r="W377"/>
      <c r="X377"/>
      <c r="Y377"/>
      <c r="Z377"/>
      <c r="AA377"/>
      <c r="AB377"/>
      <c r="AC377"/>
      <c r="AD377"/>
      <c r="AE377"/>
      <c r="AF377"/>
      <c r="AG377"/>
      <c r="AH377"/>
      <c r="AI377"/>
      <c r="AJ377"/>
      <c r="AK377"/>
      <c r="AL377"/>
      <c r="AM377"/>
    </row>
    <row r="378" spans="1:254" s="11" customFormat="1" ht="21.75" customHeight="1">
      <c r="A378" s="310">
        <v>208</v>
      </c>
      <c r="B378" s="324" t="s">
        <v>53</v>
      </c>
      <c r="C378" s="325">
        <v>5092</v>
      </c>
      <c r="D378" s="313" t="s">
        <v>71</v>
      </c>
      <c r="E378" s="185" t="s">
        <v>39</v>
      </c>
      <c r="F378" s="185" t="s">
        <v>62</v>
      </c>
      <c r="G378" s="185" t="s">
        <v>40</v>
      </c>
      <c r="H378" s="313">
        <v>10</v>
      </c>
      <c r="I378" s="326">
        <v>1</v>
      </c>
      <c r="J378" s="168">
        <v>9.9499999999999993</v>
      </c>
      <c r="K378" s="187">
        <f t="shared" si="58"/>
        <v>10.447999999999999</v>
      </c>
      <c r="L378" s="187" t="str">
        <f>IF(I378=1,"-",IF(AND(I378="",#REF!="-"),"-",ROUNDUP((J378*0.2)+J378,3)))</f>
        <v>-</v>
      </c>
      <c r="M378" s="215"/>
      <c r="N378"/>
      <c r="O378"/>
      <c r="P378"/>
      <c r="Q378"/>
      <c r="R378"/>
      <c r="S378"/>
      <c r="T378"/>
      <c r="U378"/>
      <c r="V378"/>
      <c r="W378"/>
      <c r="X378"/>
      <c r="Y378"/>
      <c r="Z378"/>
      <c r="AA378"/>
      <c r="AB378"/>
      <c r="AC378"/>
      <c r="AD378"/>
      <c r="AE378"/>
      <c r="AF378"/>
      <c r="AG378"/>
      <c r="AH378"/>
      <c r="AI378"/>
      <c r="AJ378"/>
      <c r="AK378"/>
      <c r="AL378"/>
      <c r="AM378"/>
    </row>
    <row r="379" spans="1:254" ht="21.75" customHeight="1">
      <c r="A379" s="310"/>
      <c r="B379" s="324"/>
      <c r="C379" s="325"/>
      <c r="D379" s="313"/>
      <c r="E379" s="185" t="s">
        <v>39</v>
      </c>
      <c r="F379" s="185" t="s">
        <v>78</v>
      </c>
      <c r="G379" s="185" t="s">
        <v>40</v>
      </c>
      <c r="H379" s="313"/>
      <c r="I379" s="326"/>
      <c r="J379" s="168">
        <v>11.25</v>
      </c>
      <c r="K379" s="187">
        <f t="shared" si="58"/>
        <v>11.812999999999999</v>
      </c>
      <c r="L379" s="187" t="str">
        <f>IF(I379=1,"-",IF(AND(I379="",L382="-"),"-",ROUNDUP((J379*0.2)+J379,3)))</f>
        <v>-</v>
      </c>
      <c r="M379" s="215"/>
    </row>
    <row r="380" spans="1:254" ht="21.75" customHeight="1">
      <c r="A380" s="310"/>
      <c r="B380" s="324"/>
      <c r="C380" s="325"/>
      <c r="D380" s="313"/>
      <c r="E380" s="185" t="s">
        <v>39</v>
      </c>
      <c r="F380" s="185" t="s">
        <v>79</v>
      </c>
      <c r="G380" s="185" t="s">
        <v>40</v>
      </c>
      <c r="H380" s="313"/>
      <c r="I380" s="326"/>
      <c r="J380" s="168">
        <v>11.5</v>
      </c>
      <c r="K380" s="187">
        <f t="shared" si="58"/>
        <v>12.074999999999999</v>
      </c>
      <c r="L380" s="187" t="str">
        <f>IF(I380=1,"-",IF(AND(I380="",L379="-"),"-",ROUNDUP((J380*0.2)+J380,3)))</f>
        <v>-</v>
      </c>
      <c r="M380" s="215"/>
    </row>
    <row r="381" spans="1:254" s="54" customFormat="1" ht="21.75" customHeight="1">
      <c r="A381" s="63">
        <v>208</v>
      </c>
      <c r="B381" s="64" t="s">
        <v>53</v>
      </c>
      <c r="C381" s="161">
        <v>5093</v>
      </c>
      <c r="D381" s="61" t="s">
        <v>72</v>
      </c>
      <c r="E381" s="61" t="s">
        <v>41</v>
      </c>
      <c r="F381" s="61" t="s">
        <v>62</v>
      </c>
      <c r="G381" s="61" t="s">
        <v>40</v>
      </c>
      <c r="H381" s="61">
        <v>10</v>
      </c>
      <c r="I381" s="65">
        <v>1</v>
      </c>
      <c r="J381" s="102">
        <v>9.9499999999999993</v>
      </c>
      <c r="K381" s="103">
        <f t="shared" si="58"/>
        <v>10.447999999999999</v>
      </c>
      <c r="L381" s="103" t="str">
        <f>IF(I381=1,"-",IF(AND(I381="",L377="-"),"-",ROUNDUP((J381*0.2)+J381,3)))</f>
        <v>-</v>
      </c>
      <c r="M381" s="215"/>
      <c r="N381"/>
      <c r="O381"/>
      <c r="P381"/>
      <c r="Q381"/>
      <c r="R381"/>
      <c r="S381"/>
      <c r="T381"/>
      <c r="U381"/>
      <c r="V381"/>
      <c r="W381"/>
      <c r="X381"/>
      <c r="Y381"/>
      <c r="Z381"/>
      <c r="AA381"/>
      <c r="AB381"/>
      <c r="AC381"/>
      <c r="AD381"/>
      <c r="AE381"/>
      <c r="AF381"/>
      <c r="AG381"/>
      <c r="AH381"/>
      <c r="AI381"/>
      <c r="AJ381"/>
      <c r="AK381"/>
      <c r="AL381"/>
      <c r="AM381"/>
    </row>
    <row r="382" spans="1:254" s="54" customFormat="1" ht="21.75" customHeight="1">
      <c r="A382" s="310">
        <v>211</v>
      </c>
      <c r="B382" s="324" t="s">
        <v>53</v>
      </c>
      <c r="C382" s="325">
        <v>6438</v>
      </c>
      <c r="D382" s="313" t="s">
        <v>67</v>
      </c>
      <c r="E382" s="185" t="s">
        <v>39</v>
      </c>
      <c r="F382" s="185" t="s">
        <v>62</v>
      </c>
      <c r="G382" s="185" t="s">
        <v>40</v>
      </c>
      <c r="H382" s="313">
        <v>15</v>
      </c>
      <c r="I382" s="326">
        <v>1</v>
      </c>
      <c r="J382" s="168">
        <v>9.4499999999999993</v>
      </c>
      <c r="K382" s="187">
        <f t="shared" si="58"/>
        <v>9.923</v>
      </c>
      <c r="L382" s="187" t="str">
        <f>IF(I382=1,"-",IF(AND(I382="",L381="-"),"-",ROUNDUP((J382*0.2)+J382,3)))</f>
        <v>-</v>
      </c>
      <c r="M382" s="215"/>
      <c r="N382"/>
      <c r="O382"/>
      <c r="P382"/>
      <c r="Q382"/>
      <c r="R382"/>
      <c r="S382"/>
      <c r="T382"/>
      <c r="U382"/>
      <c r="V382"/>
      <c r="W382"/>
      <c r="X382"/>
      <c r="Y382"/>
      <c r="Z382"/>
      <c r="AA382"/>
      <c r="AB382"/>
      <c r="AC382"/>
      <c r="AD382"/>
      <c r="AE382"/>
      <c r="AF382"/>
      <c r="AG382"/>
      <c r="AH382"/>
      <c r="AI382"/>
      <c r="AJ382"/>
      <c r="AK382"/>
      <c r="AL382"/>
      <c r="AM382"/>
    </row>
    <row r="383" spans="1:254" s="6" customFormat="1" ht="26.1" customHeight="1">
      <c r="A383" s="310"/>
      <c r="B383" s="324"/>
      <c r="C383" s="325"/>
      <c r="D383" s="313"/>
      <c r="E383" s="185" t="s">
        <v>39</v>
      </c>
      <c r="F383" s="185" t="s">
        <v>78</v>
      </c>
      <c r="G383" s="185" t="s">
        <v>40</v>
      </c>
      <c r="H383" s="313"/>
      <c r="I383" s="326"/>
      <c r="J383" s="168">
        <v>10.91</v>
      </c>
      <c r="K383" s="187">
        <f t="shared" si="58"/>
        <v>11.456</v>
      </c>
      <c r="L383" s="187" t="str">
        <f>IF(I383=1,"-",IF(AND(I383="",L199="-"),"-",ROUNDUP((J383*0.2)+J383,3)))</f>
        <v>-</v>
      </c>
      <c r="M383" s="215"/>
      <c r="N383"/>
      <c r="O383"/>
      <c r="P383"/>
    </row>
    <row r="384" spans="1:254" s="6" customFormat="1" ht="25.5" customHeight="1">
      <c r="A384" s="315">
        <v>114</v>
      </c>
      <c r="B384" s="330" t="s">
        <v>53</v>
      </c>
      <c r="C384" s="317">
        <v>1199</v>
      </c>
      <c r="D384" s="257" t="s">
        <v>33</v>
      </c>
      <c r="E384" s="112" t="s">
        <v>39</v>
      </c>
      <c r="F384" s="112" t="s">
        <v>62</v>
      </c>
      <c r="G384" s="112" t="s">
        <v>40</v>
      </c>
      <c r="H384" s="257">
        <v>15</v>
      </c>
      <c r="I384" s="331">
        <v>1</v>
      </c>
      <c r="J384" s="102">
        <v>8.9</v>
      </c>
      <c r="K384" s="103">
        <f t="shared" si="58"/>
        <v>9.3450000000000006</v>
      </c>
      <c r="L384" s="103" t="str">
        <f t="shared" ref="L384:L402" si="59">IF(I384=1,"-",IF(AND(I384="",L383="-"),"-",ROUNDUP((J384*0.2)+J384,3)))</f>
        <v>-</v>
      </c>
      <c r="M384" s="215"/>
      <c r="N384"/>
      <c r="O384"/>
      <c r="P384"/>
    </row>
    <row r="385" spans="1:40" s="6" customFormat="1" ht="25.5" customHeight="1">
      <c r="A385" s="315"/>
      <c r="B385" s="330"/>
      <c r="C385" s="317"/>
      <c r="D385" s="257"/>
      <c r="E385" s="112" t="s">
        <v>39</v>
      </c>
      <c r="F385" s="112" t="s">
        <v>78</v>
      </c>
      <c r="G385" s="112" t="s">
        <v>40</v>
      </c>
      <c r="H385" s="257"/>
      <c r="I385" s="331"/>
      <c r="J385" s="102">
        <v>9.35</v>
      </c>
      <c r="K385" s="103">
        <f t="shared" ref="K385" si="60">IF(I385=1,(ROUNDUP((J385*0.05+J385),3)),ROUNDUP((J385*0.05+J385),3))</f>
        <v>9.8179999999999996</v>
      </c>
      <c r="L385" s="103" t="str">
        <f t="shared" ref="L385" si="61">IF(I385=1,"-",IF(AND(I385="",L384="-"),"-",ROUNDUP((J385*0.2)+J385,3)))</f>
        <v>-</v>
      </c>
      <c r="M385" s="215"/>
      <c r="N385"/>
      <c r="O385"/>
      <c r="P385"/>
    </row>
    <row r="386" spans="1:40" s="6" customFormat="1" ht="26.1" customHeight="1">
      <c r="A386" s="310">
        <v>211</v>
      </c>
      <c r="B386" s="324" t="s">
        <v>53</v>
      </c>
      <c r="C386" s="325">
        <v>1099</v>
      </c>
      <c r="D386" s="313" t="s">
        <v>327</v>
      </c>
      <c r="E386" s="185" t="s">
        <v>39</v>
      </c>
      <c r="F386" s="185" t="s">
        <v>62</v>
      </c>
      <c r="G386" s="185" t="s">
        <v>84</v>
      </c>
      <c r="H386" s="313">
        <v>15</v>
      </c>
      <c r="I386" s="326">
        <v>1</v>
      </c>
      <c r="J386" s="168">
        <v>6.5</v>
      </c>
      <c r="K386" s="187">
        <f t="shared" si="58"/>
        <v>6.8250000000000002</v>
      </c>
      <c r="L386" s="187" t="str">
        <f>IF(I386=1,"-",IF(AND(I386="",L384="-"),"-",ROUNDUP((J386*0.2)+J386,3)))</f>
        <v>-</v>
      </c>
      <c r="M386" s="215"/>
      <c r="N386"/>
      <c r="O386"/>
      <c r="P386"/>
    </row>
    <row r="387" spans="1:40" s="6" customFormat="1" ht="24.95" customHeight="1">
      <c r="A387" s="310"/>
      <c r="B387" s="324"/>
      <c r="C387" s="325"/>
      <c r="D387" s="313"/>
      <c r="E387" s="185" t="s">
        <v>39</v>
      </c>
      <c r="F387" s="185" t="s">
        <v>78</v>
      </c>
      <c r="G387" s="185" t="s">
        <v>84</v>
      </c>
      <c r="H387" s="313"/>
      <c r="I387" s="326"/>
      <c r="J387" s="168">
        <v>7.17</v>
      </c>
      <c r="K387" s="187">
        <f t="shared" si="58"/>
        <v>7.5289999999999999</v>
      </c>
      <c r="L387" s="187" t="str">
        <f t="shared" si="59"/>
        <v>-</v>
      </c>
      <c r="M387" s="215"/>
      <c r="N387"/>
      <c r="O387"/>
      <c r="P387"/>
      <c r="Q387"/>
      <c r="R387"/>
      <c r="S387"/>
      <c r="T387"/>
      <c r="U387"/>
      <c r="V387"/>
      <c r="W387"/>
      <c r="X387"/>
      <c r="Y387"/>
      <c r="Z387"/>
      <c r="AA387"/>
      <c r="AB387"/>
      <c r="AC387"/>
      <c r="AD387"/>
      <c r="AE387"/>
      <c r="AF387"/>
      <c r="AG387"/>
      <c r="AH387"/>
      <c r="AI387"/>
      <c r="AJ387"/>
      <c r="AK387"/>
      <c r="AL387"/>
      <c r="AM387"/>
      <c r="AN387"/>
    </row>
    <row r="388" spans="1:40" s="6" customFormat="1" ht="24.95" customHeight="1">
      <c r="A388" s="223">
        <v>212</v>
      </c>
      <c r="B388" s="222" t="s">
        <v>53</v>
      </c>
      <c r="C388" s="221">
        <v>6412</v>
      </c>
      <c r="D388" s="220" t="s">
        <v>328</v>
      </c>
      <c r="E388" s="61" t="s">
        <v>39</v>
      </c>
      <c r="F388" s="61" t="s">
        <v>62</v>
      </c>
      <c r="G388" s="61" t="s">
        <v>40</v>
      </c>
      <c r="H388" s="220">
        <v>15</v>
      </c>
      <c r="I388" s="290">
        <v>1</v>
      </c>
      <c r="J388" s="102">
        <v>7.9</v>
      </c>
      <c r="K388" s="103">
        <f t="shared" si="58"/>
        <v>8.2949999999999999</v>
      </c>
      <c r="L388" s="103" t="str">
        <f t="shared" si="59"/>
        <v>-</v>
      </c>
      <c r="M388" s="215"/>
      <c r="N388"/>
      <c r="O388"/>
      <c r="P388"/>
    </row>
    <row r="389" spans="1:40" s="6" customFormat="1" ht="24.95" customHeight="1">
      <c r="A389" s="223"/>
      <c r="B389" s="222"/>
      <c r="C389" s="221"/>
      <c r="D389" s="220"/>
      <c r="E389" s="61" t="s">
        <v>39</v>
      </c>
      <c r="F389" s="61" t="s">
        <v>78</v>
      </c>
      <c r="G389" s="61" t="s">
        <v>40</v>
      </c>
      <c r="H389" s="220"/>
      <c r="I389" s="290"/>
      <c r="J389" s="102">
        <v>8.76</v>
      </c>
      <c r="K389" s="103">
        <f t="shared" si="58"/>
        <v>9.1980000000000004</v>
      </c>
      <c r="L389" s="103" t="str">
        <f t="shared" si="59"/>
        <v>-</v>
      </c>
      <c r="M389" s="215"/>
      <c r="N389"/>
      <c r="O389"/>
      <c r="P389"/>
    </row>
    <row r="390" spans="1:40" s="6" customFormat="1" ht="24.95" customHeight="1">
      <c r="A390" s="223"/>
      <c r="B390" s="222"/>
      <c r="C390" s="221"/>
      <c r="D390" s="220"/>
      <c r="E390" s="61" t="s">
        <v>39</v>
      </c>
      <c r="F390" s="61" t="s">
        <v>79</v>
      </c>
      <c r="G390" s="61" t="s">
        <v>40</v>
      </c>
      <c r="H390" s="220"/>
      <c r="I390" s="290"/>
      <c r="J390" s="102">
        <v>9.56</v>
      </c>
      <c r="K390" s="103">
        <f t="shared" si="58"/>
        <v>10.038</v>
      </c>
      <c r="L390" s="103" t="str">
        <f t="shared" si="59"/>
        <v>-</v>
      </c>
      <c r="M390" s="215"/>
      <c r="N390"/>
      <c r="O390"/>
      <c r="P390"/>
    </row>
    <row r="391" spans="1:40" s="6" customFormat="1" ht="24.95" customHeight="1">
      <c r="A391" s="188">
        <v>212</v>
      </c>
      <c r="B391" s="183" t="s">
        <v>53</v>
      </c>
      <c r="C391" s="184">
        <v>6413</v>
      </c>
      <c r="D391" s="185" t="s">
        <v>329</v>
      </c>
      <c r="E391" s="185" t="s">
        <v>41</v>
      </c>
      <c r="F391" s="185" t="s">
        <v>62</v>
      </c>
      <c r="G391" s="185" t="s">
        <v>40</v>
      </c>
      <c r="H391" s="185">
        <v>15</v>
      </c>
      <c r="I391" s="191">
        <v>1</v>
      </c>
      <c r="J391" s="168">
        <v>7.9</v>
      </c>
      <c r="K391" s="187">
        <f t="shared" si="58"/>
        <v>8.2949999999999999</v>
      </c>
      <c r="L391" s="187" t="str">
        <f t="shared" si="59"/>
        <v>-</v>
      </c>
      <c r="M391" s="215"/>
      <c r="N391"/>
      <c r="O391"/>
      <c r="P391"/>
    </row>
    <row r="392" spans="1:40" s="6" customFormat="1" ht="24.95" customHeight="1">
      <c r="A392" s="63">
        <v>212</v>
      </c>
      <c r="B392" s="209" t="s">
        <v>53</v>
      </c>
      <c r="C392" s="161">
        <v>1095</v>
      </c>
      <c r="D392" s="61" t="s">
        <v>27</v>
      </c>
      <c r="E392" s="61" t="s">
        <v>39</v>
      </c>
      <c r="F392" s="61" t="s">
        <v>62</v>
      </c>
      <c r="G392" s="61" t="s">
        <v>84</v>
      </c>
      <c r="H392" s="61">
        <v>25</v>
      </c>
      <c r="I392" s="65">
        <v>1</v>
      </c>
      <c r="J392" s="102">
        <v>4.3499999999999996</v>
      </c>
      <c r="K392" s="103">
        <f t="shared" si="58"/>
        <v>4.5680000000000005</v>
      </c>
      <c r="L392" s="103" t="str">
        <f t="shared" si="59"/>
        <v>-</v>
      </c>
      <c r="M392" s="215"/>
      <c r="N392"/>
      <c r="O392"/>
      <c r="P392"/>
    </row>
    <row r="393" spans="1:40" s="6" customFormat="1" ht="24.95" customHeight="1">
      <c r="A393" s="310">
        <v>212</v>
      </c>
      <c r="B393" s="324" t="s">
        <v>53</v>
      </c>
      <c r="C393" s="325">
        <v>1195</v>
      </c>
      <c r="D393" s="313" t="s">
        <v>43</v>
      </c>
      <c r="E393" s="185" t="s">
        <v>39</v>
      </c>
      <c r="F393" s="185" t="s">
        <v>62</v>
      </c>
      <c r="G393" s="185" t="s">
        <v>40</v>
      </c>
      <c r="H393" s="313">
        <v>15</v>
      </c>
      <c r="I393" s="326">
        <v>1</v>
      </c>
      <c r="J393" s="168">
        <v>9.9499999999999993</v>
      </c>
      <c r="K393" s="187">
        <f t="shared" si="58"/>
        <v>10.447999999999999</v>
      </c>
      <c r="L393" s="187" t="str">
        <f t="shared" si="59"/>
        <v>-</v>
      </c>
      <c r="M393" s="215"/>
      <c r="N393"/>
      <c r="O393"/>
      <c r="P393"/>
    </row>
    <row r="394" spans="1:40" s="6" customFormat="1" ht="24.95" customHeight="1">
      <c r="A394" s="310"/>
      <c r="B394" s="324"/>
      <c r="C394" s="325"/>
      <c r="D394" s="313"/>
      <c r="E394" s="185" t="s">
        <v>39</v>
      </c>
      <c r="F394" s="185" t="s">
        <v>78</v>
      </c>
      <c r="G394" s="185" t="s">
        <v>40</v>
      </c>
      <c r="H394" s="313"/>
      <c r="I394" s="326"/>
      <c r="J394" s="168">
        <v>11.35</v>
      </c>
      <c r="K394" s="187">
        <f t="shared" si="58"/>
        <v>11.917999999999999</v>
      </c>
      <c r="L394" s="187" t="str">
        <f t="shared" si="59"/>
        <v>-</v>
      </c>
      <c r="M394" s="215"/>
      <c r="N394"/>
      <c r="O394"/>
      <c r="P394"/>
      <c r="Q394"/>
      <c r="R394"/>
      <c r="S394"/>
      <c r="T394"/>
      <c r="U394"/>
      <c r="V394"/>
      <c r="W394"/>
      <c r="X394"/>
      <c r="Y394"/>
      <c r="Z394"/>
      <c r="AA394"/>
      <c r="AB394"/>
      <c r="AC394"/>
      <c r="AD394"/>
      <c r="AE394"/>
      <c r="AF394"/>
      <c r="AG394"/>
      <c r="AH394"/>
      <c r="AI394"/>
      <c r="AJ394"/>
      <c r="AK394"/>
      <c r="AL394"/>
      <c r="AM394"/>
      <c r="AN394"/>
    </row>
    <row r="395" spans="1:40" s="6" customFormat="1" ht="24.95" customHeight="1">
      <c r="A395" s="223">
        <v>215</v>
      </c>
      <c r="B395" s="222" t="s">
        <v>53</v>
      </c>
      <c r="C395" s="221">
        <v>6436</v>
      </c>
      <c r="D395" s="220" t="s">
        <v>65</v>
      </c>
      <c r="E395" s="61" t="s">
        <v>39</v>
      </c>
      <c r="F395" s="61" t="s">
        <v>62</v>
      </c>
      <c r="G395" s="61" t="s">
        <v>40</v>
      </c>
      <c r="H395" s="220">
        <v>15</v>
      </c>
      <c r="I395" s="290">
        <v>1</v>
      </c>
      <c r="J395" s="102">
        <v>12.8</v>
      </c>
      <c r="K395" s="103">
        <f t="shared" ref="K395" si="62">IF(I395=1,(ROUNDUP((J395*0.05+J395),3)),ROUNDUP((J395*0.05+J395),3))</f>
        <v>13.44</v>
      </c>
      <c r="L395" s="103" t="str">
        <f t="shared" si="59"/>
        <v>-</v>
      </c>
      <c r="M395" s="215"/>
      <c r="N395"/>
      <c r="O395"/>
      <c r="P395"/>
    </row>
    <row r="396" spans="1:40" s="6" customFormat="1" ht="26.1" customHeight="1">
      <c r="A396" s="223"/>
      <c r="B396" s="222"/>
      <c r="C396" s="221"/>
      <c r="D396" s="220"/>
      <c r="E396" s="61" t="s">
        <v>39</v>
      </c>
      <c r="F396" s="61" t="s">
        <v>104</v>
      </c>
      <c r="G396" s="61" t="s">
        <v>40</v>
      </c>
      <c r="H396" s="220"/>
      <c r="I396" s="290"/>
      <c r="J396" s="102">
        <v>14.09</v>
      </c>
      <c r="K396" s="103">
        <f t="shared" ref="K396:K408" si="63">IF(I396=1,(ROUNDUP((J396*0.05+J396),3)),ROUNDUP((J396*0.05+J396),3))</f>
        <v>14.795</v>
      </c>
      <c r="L396" s="103" t="str">
        <f t="shared" si="59"/>
        <v>-</v>
      </c>
      <c r="M396" s="215"/>
      <c r="N396"/>
      <c r="O396"/>
      <c r="P396"/>
    </row>
    <row r="397" spans="1:40" s="6" customFormat="1" ht="26.1" customHeight="1">
      <c r="A397" s="310">
        <v>215</v>
      </c>
      <c r="B397" s="324" t="s">
        <v>53</v>
      </c>
      <c r="C397" s="325">
        <v>6437</v>
      </c>
      <c r="D397" s="313" t="s">
        <v>66</v>
      </c>
      <c r="E397" s="185" t="s">
        <v>41</v>
      </c>
      <c r="F397" s="185" t="s">
        <v>62</v>
      </c>
      <c r="G397" s="185" t="s">
        <v>101</v>
      </c>
      <c r="H397" s="313">
        <v>15</v>
      </c>
      <c r="I397" s="314">
        <v>1</v>
      </c>
      <c r="J397" s="168">
        <v>12.8</v>
      </c>
      <c r="K397" s="187">
        <f t="shared" si="63"/>
        <v>13.44</v>
      </c>
      <c r="L397" s="187" t="str">
        <f t="shared" si="59"/>
        <v>-</v>
      </c>
      <c r="M397" s="215"/>
      <c r="N397"/>
      <c r="O397"/>
      <c r="P397"/>
    </row>
    <row r="398" spans="1:40" s="6" customFormat="1" ht="26.1" customHeight="1">
      <c r="A398" s="310"/>
      <c r="B398" s="324"/>
      <c r="C398" s="325"/>
      <c r="D398" s="313"/>
      <c r="E398" s="185" t="s">
        <v>41</v>
      </c>
      <c r="F398" s="185" t="s">
        <v>78</v>
      </c>
      <c r="G398" s="185" t="s">
        <v>101</v>
      </c>
      <c r="H398" s="313"/>
      <c r="I398" s="314"/>
      <c r="J398" s="168">
        <v>14.09</v>
      </c>
      <c r="K398" s="187">
        <f t="shared" si="63"/>
        <v>14.795</v>
      </c>
      <c r="L398" s="187" t="str">
        <f t="shared" si="59"/>
        <v>-</v>
      </c>
      <c r="M398" s="215"/>
      <c r="N398"/>
      <c r="O398"/>
      <c r="P398"/>
    </row>
    <row r="399" spans="1:40" s="6" customFormat="1" ht="26.1" customHeight="1">
      <c r="A399" s="223">
        <v>215</v>
      </c>
      <c r="B399" s="222" t="s">
        <v>53</v>
      </c>
      <c r="C399" s="221">
        <v>6432</v>
      </c>
      <c r="D399" s="220" t="s">
        <v>81</v>
      </c>
      <c r="E399" s="61" t="s">
        <v>39</v>
      </c>
      <c r="F399" s="61" t="s">
        <v>62</v>
      </c>
      <c r="G399" s="61" t="s">
        <v>84</v>
      </c>
      <c r="H399" s="220">
        <v>15</v>
      </c>
      <c r="I399" s="290">
        <v>1</v>
      </c>
      <c r="J399" s="102">
        <v>11.95</v>
      </c>
      <c r="K399" s="103">
        <f t="shared" si="63"/>
        <v>12.548</v>
      </c>
      <c r="L399" s="103" t="str">
        <f t="shared" si="59"/>
        <v>-</v>
      </c>
      <c r="M399" s="215"/>
      <c r="N399"/>
      <c r="O399"/>
      <c r="P399"/>
    </row>
    <row r="400" spans="1:40" s="6" customFormat="1" ht="26.1" customHeight="1">
      <c r="A400" s="223"/>
      <c r="B400" s="222"/>
      <c r="C400" s="221"/>
      <c r="D400" s="220"/>
      <c r="E400" s="61" t="s">
        <v>39</v>
      </c>
      <c r="F400" s="61" t="s">
        <v>78</v>
      </c>
      <c r="G400" s="61" t="s">
        <v>84</v>
      </c>
      <c r="H400" s="220"/>
      <c r="I400" s="290"/>
      <c r="J400" s="102">
        <v>13.15</v>
      </c>
      <c r="K400" s="103">
        <f t="shared" si="63"/>
        <v>13.808</v>
      </c>
      <c r="L400" s="103" t="str">
        <f t="shared" si="59"/>
        <v>-</v>
      </c>
      <c r="M400" s="215"/>
      <c r="N400"/>
      <c r="O400"/>
      <c r="P400"/>
    </row>
    <row r="401" spans="1:40" s="6" customFormat="1" ht="26.1" customHeight="1">
      <c r="A401" s="310">
        <v>215</v>
      </c>
      <c r="B401" s="324" t="s">
        <v>53</v>
      </c>
      <c r="C401" s="325">
        <v>6433</v>
      </c>
      <c r="D401" s="313" t="s">
        <v>82</v>
      </c>
      <c r="E401" s="185" t="s">
        <v>41</v>
      </c>
      <c r="F401" s="185" t="s">
        <v>62</v>
      </c>
      <c r="G401" s="185" t="s">
        <v>84</v>
      </c>
      <c r="H401" s="313">
        <v>15</v>
      </c>
      <c r="I401" s="314">
        <v>1</v>
      </c>
      <c r="J401" s="168">
        <v>11.95</v>
      </c>
      <c r="K401" s="187">
        <f t="shared" si="63"/>
        <v>12.548</v>
      </c>
      <c r="L401" s="187" t="str">
        <f t="shared" si="59"/>
        <v>-</v>
      </c>
      <c r="M401" s="215"/>
      <c r="N401"/>
      <c r="O401"/>
      <c r="P401"/>
    </row>
    <row r="402" spans="1:40" ht="26.1" customHeight="1">
      <c r="A402" s="310"/>
      <c r="B402" s="324"/>
      <c r="C402" s="325"/>
      <c r="D402" s="313"/>
      <c r="E402" s="185" t="s">
        <v>41</v>
      </c>
      <c r="F402" s="185" t="s">
        <v>78</v>
      </c>
      <c r="G402" s="185" t="s">
        <v>84</v>
      </c>
      <c r="H402" s="313"/>
      <c r="I402" s="314"/>
      <c r="J402" s="168">
        <v>13.15</v>
      </c>
      <c r="K402" s="187">
        <f t="shared" si="63"/>
        <v>13.808</v>
      </c>
      <c r="L402" s="187" t="str">
        <f t="shared" si="59"/>
        <v>-</v>
      </c>
      <c r="M402" s="215"/>
    </row>
    <row r="403" spans="1:40" s="6" customFormat="1" ht="26.1" customHeight="1">
      <c r="A403" s="223">
        <v>216</v>
      </c>
      <c r="B403" s="332" t="s">
        <v>53</v>
      </c>
      <c r="C403" s="221">
        <v>6435</v>
      </c>
      <c r="D403" s="220" t="s">
        <v>46</v>
      </c>
      <c r="E403" s="61" t="s">
        <v>39</v>
      </c>
      <c r="F403" s="61" t="s">
        <v>62</v>
      </c>
      <c r="G403" s="61" t="s">
        <v>40</v>
      </c>
      <c r="H403" s="220">
        <v>15</v>
      </c>
      <c r="I403" s="290">
        <v>1</v>
      </c>
      <c r="J403" s="102">
        <v>13.9</v>
      </c>
      <c r="K403" s="103">
        <f t="shared" si="63"/>
        <v>14.595000000000001</v>
      </c>
      <c r="L403" s="103" t="str">
        <f>IF(I403=1,"-",IF(AND(I403="",L408="-"),"-",ROUNDUP((J403*0.2)+J403,3)))</f>
        <v>-</v>
      </c>
      <c r="M403" s="215"/>
      <c r="N403"/>
      <c r="O403"/>
      <c r="P403"/>
    </row>
    <row r="404" spans="1:40" s="6" customFormat="1" ht="26.1" customHeight="1">
      <c r="A404" s="223"/>
      <c r="B404" s="332"/>
      <c r="C404" s="221"/>
      <c r="D404" s="220"/>
      <c r="E404" s="61" t="s">
        <v>39</v>
      </c>
      <c r="F404" s="61" t="s">
        <v>78</v>
      </c>
      <c r="G404" s="61" t="s">
        <v>40</v>
      </c>
      <c r="H404" s="220"/>
      <c r="I404" s="290"/>
      <c r="J404" s="102">
        <v>15.2</v>
      </c>
      <c r="K404" s="103">
        <f t="shared" si="63"/>
        <v>15.96</v>
      </c>
      <c r="L404" s="103" t="str">
        <f>IF(I404=1,"-",IF(AND(I404="",L403="-"),"-",ROUNDUP((J404*0.2)+J404,3)))</f>
        <v>-</v>
      </c>
      <c r="M404" s="215"/>
      <c r="N404"/>
      <c r="O404"/>
      <c r="P404"/>
      <c r="Q404"/>
      <c r="R404"/>
      <c r="S404"/>
      <c r="T404"/>
      <c r="U404"/>
      <c r="V404"/>
      <c r="W404"/>
      <c r="X404"/>
      <c r="Y404"/>
      <c r="Z404"/>
      <c r="AA404"/>
      <c r="AB404"/>
      <c r="AC404"/>
      <c r="AD404"/>
      <c r="AE404"/>
      <c r="AF404"/>
      <c r="AG404"/>
      <c r="AH404"/>
      <c r="AI404"/>
      <c r="AJ404"/>
      <c r="AK404"/>
      <c r="AL404"/>
      <c r="AM404"/>
      <c r="AN404"/>
    </row>
    <row r="405" spans="1:40" s="6" customFormat="1" ht="26.1" customHeight="1">
      <c r="A405" s="223"/>
      <c r="B405" s="332"/>
      <c r="C405" s="221"/>
      <c r="D405" s="220"/>
      <c r="E405" s="61" t="s">
        <v>39</v>
      </c>
      <c r="F405" s="61" t="s">
        <v>62</v>
      </c>
      <c r="G405" s="61" t="s">
        <v>105</v>
      </c>
      <c r="H405" s="220"/>
      <c r="I405" s="290"/>
      <c r="J405" s="102">
        <v>15.1</v>
      </c>
      <c r="K405" s="103">
        <f t="shared" si="63"/>
        <v>15.855</v>
      </c>
      <c r="L405" s="103" t="str">
        <f>IF(I405=1,"-",IF(AND(I405="",L404="-"),"-",ROUNDUP((J405*0.2)+J405,3)))</f>
        <v>-</v>
      </c>
      <c r="M405" s="215"/>
      <c r="N405"/>
      <c r="O405"/>
      <c r="P405"/>
    </row>
    <row r="406" spans="1:40" s="6" customFormat="1" ht="26.1" customHeight="1">
      <c r="A406" s="223"/>
      <c r="B406" s="332"/>
      <c r="C406" s="221"/>
      <c r="D406" s="220"/>
      <c r="E406" s="61" t="s">
        <v>39</v>
      </c>
      <c r="F406" s="61" t="s">
        <v>78</v>
      </c>
      <c r="G406" s="61" t="s">
        <v>105</v>
      </c>
      <c r="H406" s="220"/>
      <c r="I406" s="290"/>
      <c r="J406" s="102">
        <v>15.1</v>
      </c>
      <c r="K406" s="103">
        <f t="shared" si="63"/>
        <v>15.855</v>
      </c>
      <c r="L406" s="103" t="str">
        <f>IF(I406=1,"-",IF(AND(I406="",L405="-"),"-",ROUNDUP((J406*0.2)+J406,3)))</f>
        <v>-</v>
      </c>
      <c r="M406" s="215"/>
      <c r="N406"/>
      <c r="O406"/>
      <c r="P406"/>
    </row>
    <row r="407" spans="1:40" s="6" customFormat="1" ht="24.75" customHeight="1">
      <c r="A407" s="310">
        <v>216</v>
      </c>
      <c r="B407" s="324" t="s">
        <v>53</v>
      </c>
      <c r="C407" s="325">
        <v>6428</v>
      </c>
      <c r="D407" s="313" t="s">
        <v>97</v>
      </c>
      <c r="E407" s="185" t="s">
        <v>39</v>
      </c>
      <c r="F407" s="185" t="s">
        <v>80</v>
      </c>
      <c r="G407" s="185" t="s">
        <v>40</v>
      </c>
      <c r="H407" s="313">
        <v>15</v>
      </c>
      <c r="I407" s="326">
        <v>1</v>
      </c>
      <c r="J407" s="168">
        <v>15.95</v>
      </c>
      <c r="K407" s="187">
        <f t="shared" si="63"/>
        <v>16.748000000000001</v>
      </c>
      <c r="L407" s="187" t="str">
        <f>IF(I407=1,"-",IF(AND(I407="",L402="-"),"-",ROUNDUP((J407*0.2)+J407,3)))</f>
        <v>-</v>
      </c>
      <c r="M407" s="215"/>
      <c r="N407"/>
      <c r="O407"/>
      <c r="P407"/>
    </row>
    <row r="408" spans="1:40" s="6" customFormat="1" ht="26.1" customHeight="1">
      <c r="A408" s="310"/>
      <c r="B408" s="324"/>
      <c r="C408" s="325"/>
      <c r="D408" s="313"/>
      <c r="E408" s="185" t="s">
        <v>39</v>
      </c>
      <c r="F408" s="185" t="s">
        <v>78</v>
      </c>
      <c r="G408" s="185" t="s">
        <v>40</v>
      </c>
      <c r="H408" s="313"/>
      <c r="I408" s="326"/>
      <c r="J408" s="168">
        <v>16.95</v>
      </c>
      <c r="K408" s="187">
        <f t="shared" si="63"/>
        <v>17.798000000000002</v>
      </c>
      <c r="L408" s="187" t="str">
        <f t="shared" ref="L408" si="64">IF(I408=1,"-",IF(AND(I408="",L407="-"),"-",ROUNDUP((J408*0.2)+J408,3)))</f>
        <v>-</v>
      </c>
      <c r="M408" s="215"/>
      <c r="N408"/>
      <c r="O408"/>
      <c r="P408"/>
    </row>
    <row r="409" spans="1:40" s="6" customFormat="1" ht="26.1" customHeight="1">
      <c r="A409" s="223">
        <v>219</v>
      </c>
      <c r="B409" s="222" t="s">
        <v>53</v>
      </c>
      <c r="C409" s="221">
        <v>5090</v>
      </c>
      <c r="D409" s="220" t="s">
        <v>69</v>
      </c>
      <c r="E409" s="61" t="s">
        <v>39</v>
      </c>
      <c r="F409" s="61" t="s">
        <v>62</v>
      </c>
      <c r="G409" s="61" t="s">
        <v>40</v>
      </c>
      <c r="H409" s="220">
        <v>10</v>
      </c>
      <c r="I409" s="290">
        <v>1</v>
      </c>
      <c r="J409" s="102">
        <v>13.5</v>
      </c>
      <c r="K409" s="103">
        <f t="shared" ref="K409:K412" si="65">IF(I409=1,(ROUNDUP((J409*0.05+J409),3)),ROUNDUP((J409*0.05+J409),3))</f>
        <v>14.175000000000001</v>
      </c>
      <c r="L409" s="103" t="str">
        <f>IF(I409=1,"-",IF(AND(I409="",L406="-"),"-",ROUNDUP((J409*0.2)+J409,3)))</f>
        <v>-</v>
      </c>
      <c r="M409" s="215"/>
      <c r="N409"/>
      <c r="O409"/>
      <c r="P409"/>
    </row>
    <row r="410" spans="1:40" ht="26.1" customHeight="1">
      <c r="A410" s="223"/>
      <c r="B410" s="222"/>
      <c r="C410" s="221"/>
      <c r="D410" s="220"/>
      <c r="E410" s="61" t="s">
        <v>39</v>
      </c>
      <c r="F410" s="61" t="s">
        <v>78</v>
      </c>
      <c r="G410" s="61" t="s">
        <v>40</v>
      </c>
      <c r="H410" s="220"/>
      <c r="I410" s="290"/>
      <c r="J410" s="102">
        <v>15</v>
      </c>
      <c r="K410" s="103">
        <f t="shared" si="65"/>
        <v>15.75</v>
      </c>
      <c r="L410" s="103" t="str">
        <f t="shared" ref="L410:L417" si="66">IF(I410=1,"-",IF(AND(I410="",L409="-"),"-",ROUNDUP((J410*0.2)+J410,3)))</f>
        <v>-</v>
      </c>
      <c r="M410" s="215"/>
    </row>
    <row r="411" spans="1:40" ht="26.1" customHeight="1">
      <c r="A411" s="188">
        <v>219</v>
      </c>
      <c r="B411" s="183" t="s">
        <v>53</v>
      </c>
      <c r="C411" s="184">
        <v>5091</v>
      </c>
      <c r="D411" s="185" t="s">
        <v>70</v>
      </c>
      <c r="E411" s="185" t="s">
        <v>41</v>
      </c>
      <c r="F411" s="185" t="s">
        <v>62</v>
      </c>
      <c r="G411" s="185" t="s">
        <v>40</v>
      </c>
      <c r="H411" s="185">
        <v>10</v>
      </c>
      <c r="I411" s="191">
        <v>1</v>
      </c>
      <c r="J411" s="168">
        <v>13.5</v>
      </c>
      <c r="K411" s="187">
        <f t="shared" si="65"/>
        <v>14.175000000000001</v>
      </c>
      <c r="L411" s="187" t="str">
        <f t="shared" si="66"/>
        <v>-</v>
      </c>
      <c r="M411" s="215"/>
    </row>
    <row r="412" spans="1:40" s="6" customFormat="1" ht="26.1" customHeight="1">
      <c r="A412" s="223">
        <v>219</v>
      </c>
      <c r="B412" s="222" t="s">
        <v>53</v>
      </c>
      <c r="C412" s="221">
        <v>5094</v>
      </c>
      <c r="D412" s="220" t="s">
        <v>94</v>
      </c>
      <c r="E412" s="61" t="s">
        <v>39</v>
      </c>
      <c r="F412" s="61" t="s">
        <v>62</v>
      </c>
      <c r="G412" s="61" t="s">
        <v>40</v>
      </c>
      <c r="H412" s="220">
        <v>10</v>
      </c>
      <c r="I412" s="290">
        <v>1</v>
      </c>
      <c r="J412" s="102">
        <v>12.9</v>
      </c>
      <c r="K412" s="103">
        <f t="shared" si="65"/>
        <v>13.545</v>
      </c>
      <c r="L412" s="103" t="str">
        <f t="shared" si="66"/>
        <v>-</v>
      </c>
      <c r="M412" s="215"/>
      <c r="N412"/>
      <c r="O412"/>
      <c r="P412"/>
    </row>
    <row r="413" spans="1:40" ht="24.95" customHeight="1">
      <c r="A413" s="223"/>
      <c r="B413" s="222"/>
      <c r="C413" s="221"/>
      <c r="D413" s="220"/>
      <c r="E413" s="61" t="s">
        <v>39</v>
      </c>
      <c r="F413" s="61" t="s">
        <v>78</v>
      </c>
      <c r="G413" s="61" t="s">
        <v>40</v>
      </c>
      <c r="H413" s="220"/>
      <c r="I413" s="290"/>
      <c r="J413" s="102">
        <v>14.2</v>
      </c>
      <c r="K413" s="103">
        <f t="shared" ref="K413:K422" si="67">IF(I413=1,(ROUNDUP((J413*0.05+J413),3)),ROUNDUP((J413*0.05+J413),3))</f>
        <v>14.91</v>
      </c>
      <c r="L413" s="103" t="str">
        <f t="shared" si="66"/>
        <v>-</v>
      </c>
      <c r="M413" s="215"/>
    </row>
    <row r="414" spans="1:40" ht="24.95" customHeight="1">
      <c r="A414" s="223"/>
      <c r="B414" s="222"/>
      <c r="C414" s="221"/>
      <c r="D414" s="220"/>
      <c r="E414" s="61" t="s">
        <v>39</v>
      </c>
      <c r="F414" s="61" t="s">
        <v>62</v>
      </c>
      <c r="G414" s="61" t="s">
        <v>129</v>
      </c>
      <c r="H414" s="220"/>
      <c r="I414" s="290"/>
      <c r="J414" s="102">
        <v>13.9</v>
      </c>
      <c r="K414" s="103">
        <f t="shared" si="67"/>
        <v>14.595000000000001</v>
      </c>
      <c r="L414" s="103" t="str">
        <f t="shared" si="66"/>
        <v>-</v>
      </c>
      <c r="M414" s="215"/>
    </row>
    <row r="415" spans="1:40" ht="24.95" customHeight="1">
      <c r="A415" s="223"/>
      <c r="B415" s="222"/>
      <c r="C415" s="221"/>
      <c r="D415" s="220"/>
      <c r="E415" s="61" t="s">
        <v>39</v>
      </c>
      <c r="F415" s="61" t="s">
        <v>78</v>
      </c>
      <c r="G415" s="61" t="s">
        <v>129</v>
      </c>
      <c r="H415" s="220"/>
      <c r="I415" s="290"/>
      <c r="J415" s="102">
        <v>15.2</v>
      </c>
      <c r="K415" s="103">
        <f t="shared" si="67"/>
        <v>15.96</v>
      </c>
      <c r="L415" s="103" t="str">
        <f t="shared" si="66"/>
        <v>-</v>
      </c>
      <c r="M415" s="215"/>
    </row>
    <row r="416" spans="1:40" ht="26.1" customHeight="1">
      <c r="A416" s="188">
        <v>219</v>
      </c>
      <c r="B416" s="183" t="s">
        <v>53</v>
      </c>
      <c r="C416" s="184">
        <v>5095</v>
      </c>
      <c r="D416" s="185" t="s">
        <v>98</v>
      </c>
      <c r="E416" s="185" t="s">
        <v>41</v>
      </c>
      <c r="F416" s="185" t="s">
        <v>62</v>
      </c>
      <c r="G416" s="185" t="s">
        <v>40</v>
      </c>
      <c r="H416" s="185">
        <v>10</v>
      </c>
      <c r="I416" s="191">
        <v>1</v>
      </c>
      <c r="J416" s="168">
        <v>12.9</v>
      </c>
      <c r="K416" s="187">
        <f t="shared" si="67"/>
        <v>13.545</v>
      </c>
      <c r="L416" s="187" t="str">
        <f t="shared" si="66"/>
        <v>-</v>
      </c>
      <c r="M416" s="215"/>
    </row>
    <row r="417" spans="1:42" s="6" customFormat="1" ht="26.1" customHeight="1">
      <c r="A417" s="223">
        <v>220</v>
      </c>
      <c r="B417" s="332" t="s">
        <v>53</v>
      </c>
      <c r="C417" s="221">
        <v>5079</v>
      </c>
      <c r="D417" s="220" t="s">
        <v>123</v>
      </c>
      <c r="E417" s="61" t="s">
        <v>39</v>
      </c>
      <c r="F417" s="61" t="s">
        <v>62</v>
      </c>
      <c r="G417" s="61" t="s">
        <v>101</v>
      </c>
      <c r="H417" s="220">
        <v>10</v>
      </c>
      <c r="I417" s="290">
        <v>1</v>
      </c>
      <c r="J417" s="102">
        <v>11.95</v>
      </c>
      <c r="K417" s="103">
        <f t="shared" si="67"/>
        <v>12.548</v>
      </c>
      <c r="L417" s="103" t="str">
        <f t="shared" si="66"/>
        <v>-</v>
      </c>
      <c r="M417" s="215"/>
      <c r="N417"/>
      <c r="O417"/>
      <c r="P417"/>
      <c r="Q417"/>
      <c r="R417"/>
      <c r="S417"/>
      <c r="T417"/>
      <c r="U417"/>
      <c r="V417"/>
      <c r="W417"/>
      <c r="X417"/>
      <c r="Y417"/>
      <c r="Z417"/>
      <c r="AA417"/>
      <c r="AB417"/>
      <c r="AC417"/>
      <c r="AD417"/>
      <c r="AE417"/>
      <c r="AF417"/>
      <c r="AG417"/>
      <c r="AH417"/>
      <c r="AI417"/>
      <c r="AJ417"/>
      <c r="AK417"/>
      <c r="AL417"/>
      <c r="AM417"/>
      <c r="AN417"/>
      <c r="AO417"/>
      <c r="AP417"/>
    </row>
    <row r="418" spans="1:42" s="6" customFormat="1" ht="26.1" customHeight="1">
      <c r="A418" s="223"/>
      <c r="B418" s="332"/>
      <c r="C418" s="221"/>
      <c r="D418" s="220"/>
      <c r="E418" s="61" t="s">
        <v>39</v>
      </c>
      <c r="F418" s="61" t="s">
        <v>78</v>
      </c>
      <c r="G418" s="61" t="s">
        <v>101</v>
      </c>
      <c r="H418" s="220"/>
      <c r="I418" s="290"/>
      <c r="J418" s="102">
        <v>12.9</v>
      </c>
      <c r="K418" s="103">
        <f t="shared" si="67"/>
        <v>13.545</v>
      </c>
      <c r="L418" s="103" t="str">
        <f t="shared" ref="L418" si="68">IF(I418=1,"-",IF(AND(I418="",L417="-"),"-",ROUNDUP((J418*0.2)+J418,3)))</f>
        <v>-</v>
      </c>
      <c r="M418" s="215"/>
      <c r="N418"/>
      <c r="O418"/>
      <c r="P418"/>
      <c r="Q418"/>
      <c r="R418"/>
      <c r="S418"/>
      <c r="T418"/>
      <c r="U418"/>
      <c r="V418"/>
      <c r="W418"/>
      <c r="X418"/>
      <c r="Y418"/>
      <c r="Z418"/>
      <c r="AA418"/>
      <c r="AB418"/>
      <c r="AC418"/>
      <c r="AD418"/>
      <c r="AE418"/>
      <c r="AF418"/>
      <c r="AG418"/>
      <c r="AH418"/>
      <c r="AI418"/>
      <c r="AJ418"/>
      <c r="AK418"/>
      <c r="AL418"/>
      <c r="AM418"/>
      <c r="AN418"/>
      <c r="AO418"/>
      <c r="AP418"/>
    </row>
    <row r="419" spans="1:42" s="6" customFormat="1" ht="26.1" customHeight="1">
      <c r="A419" s="188">
        <v>220</v>
      </c>
      <c r="B419" s="183" t="s">
        <v>53</v>
      </c>
      <c r="C419" s="184">
        <v>1120</v>
      </c>
      <c r="D419" s="185" t="s">
        <v>110</v>
      </c>
      <c r="E419" s="185" t="s">
        <v>39</v>
      </c>
      <c r="F419" s="185" t="s">
        <v>64</v>
      </c>
      <c r="G419" s="185" t="s">
        <v>40</v>
      </c>
      <c r="H419" s="185">
        <v>10</v>
      </c>
      <c r="I419" s="191">
        <v>1</v>
      </c>
      <c r="J419" s="168">
        <v>12.9</v>
      </c>
      <c r="K419" s="187">
        <f t="shared" si="67"/>
        <v>13.545</v>
      </c>
      <c r="L419" s="187" t="str">
        <f>IF(I419=1,"-",IF(AND(I419="",L412="-"),"-",ROUNDUP((J419*0.2)+J419,3)))</f>
        <v>-</v>
      </c>
      <c r="M419" s="215"/>
      <c r="N419"/>
      <c r="O419"/>
      <c r="P419"/>
    </row>
    <row r="420" spans="1:42" s="6" customFormat="1" ht="26.1" customHeight="1">
      <c r="A420" s="63">
        <v>220</v>
      </c>
      <c r="B420" s="66" t="s">
        <v>53</v>
      </c>
      <c r="C420" s="60" t="s">
        <v>126</v>
      </c>
      <c r="D420" s="61" t="s">
        <v>127</v>
      </c>
      <c r="E420" s="61" t="s">
        <v>39</v>
      </c>
      <c r="F420" s="61" t="s">
        <v>64</v>
      </c>
      <c r="G420" s="61" t="s">
        <v>40</v>
      </c>
      <c r="H420" s="61">
        <v>10</v>
      </c>
      <c r="I420" s="83">
        <v>1</v>
      </c>
      <c r="J420" s="102">
        <v>19.95</v>
      </c>
      <c r="K420" s="103">
        <f t="shared" si="67"/>
        <v>20.948</v>
      </c>
      <c r="L420" s="103" t="str">
        <f>IF(I420=1,"-",IF(AND(I420="",L419="-"),"-",ROUNDUP((J420*0.2)+J420,3)))</f>
        <v>-</v>
      </c>
      <c r="M420" s="215"/>
      <c r="N420"/>
      <c r="O420"/>
      <c r="P420"/>
    </row>
    <row r="421" spans="1:42" s="6" customFormat="1" ht="26.1" customHeight="1">
      <c r="A421" s="310">
        <v>222</v>
      </c>
      <c r="B421" s="324" t="s">
        <v>53</v>
      </c>
      <c r="C421" s="325">
        <v>1108</v>
      </c>
      <c r="D421" s="313" t="s">
        <v>68</v>
      </c>
      <c r="E421" s="185" t="s">
        <v>39</v>
      </c>
      <c r="F421" s="185" t="s">
        <v>62</v>
      </c>
      <c r="G421" s="185" t="s">
        <v>40</v>
      </c>
      <c r="H421" s="313">
        <v>10</v>
      </c>
      <c r="I421" s="326">
        <v>1</v>
      </c>
      <c r="J421" s="168">
        <v>12.95</v>
      </c>
      <c r="K421" s="187">
        <f t="shared" si="67"/>
        <v>13.597999999999999</v>
      </c>
      <c r="L421" s="187" t="str">
        <f>IF(I421=1,"-",IF(AND(I421="",L420="-"),"-",ROUNDUP((J421*0.2)+J421,3)))</f>
        <v>-</v>
      </c>
      <c r="M421" s="215"/>
      <c r="N421"/>
      <c r="O421"/>
      <c r="P421"/>
    </row>
    <row r="422" spans="1:42" s="6" customFormat="1" ht="26.1" customHeight="1">
      <c r="A422" s="310"/>
      <c r="B422" s="324"/>
      <c r="C422" s="325"/>
      <c r="D422" s="313"/>
      <c r="E422" s="185" t="s">
        <v>39</v>
      </c>
      <c r="F422" s="185" t="s">
        <v>78</v>
      </c>
      <c r="G422" s="185" t="s">
        <v>40</v>
      </c>
      <c r="H422" s="313"/>
      <c r="I422" s="326"/>
      <c r="J422" s="168">
        <v>13.9</v>
      </c>
      <c r="K422" s="187">
        <f t="shared" si="67"/>
        <v>14.595000000000001</v>
      </c>
      <c r="L422" s="187" t="str">
        <f>IF(I422=1,"-",IF(AND(I422="",L418="-"),"-",ROUNDUP((J422*0.2)+J422,3)))</f>
        <v>-</v>
      </c>
      <c r="M422" s="215"/>
      <c r="N422"/>
      <c r="O422"/>
      <c r="P422"/>
    </row>
    <row r="423" spans="1:42" s="6" customFormat="1" ht="26.1" customHeight="1">
      <c r="A423" s="333">
        <v>222</v>
      </c>
      <c r="B423" s="255" t="s">
        <v>164</v>
      </c>
      <c r="C423" s="334" t="s">
        <v>330</v>
      </c>
      <c r="D423" s="257" t="s">
        <v>331</v>
      </c>
      <c r="E423" s="112" t="s">
        <v>39</v>
      </c>
      <c r="F423" s="112" t="s">
        <v>80</v>
      </c>
      <c r="G423" s="112" t="s">
        <v>40</v>
      </c>
      <c r="H423" s="257">
        <v>10</v>
      </c>
      <c r="I423" s="335">
        <v>1</v>
      </c>
      <c r="J423" s="102">
        <v>24.95</v>
      </c>
      <c r="K423" s="103">
        <f t="shared" ref="K423:K428" si="69">IF(I423=1,(ROUNDUP((J423*0.05+J423),3)),ROUNDUP((J423*0.05+J423),3))</f>
        <v>26.198</v>
      </c>
      <c r="L423" s="103" t="str">
        <f>IF(I423=1,"-",IF(AND(I423="",#REF!="-"),"-",ROUNDUP((J423*0.2)+J423,3)))</f>
        <v>-</v>
      </c>
      <c r="M423" s="215"/>
      <c r="N423"/>
      <c r="O423"/>
      <c r="P423"/>
    </row>
    <row r="424" spans="1:42" s="6" customFormat="1" ht="26.1" customHeight="1">
      <c r="A424" s="333"/>
      <c r="B424" s="255"/>
      <c r="C424" s="334"/>
      <c r="D424" s="257"/>
      <c r="E424" s="112" t="s">
        <v>39</v>
      </c>
      <c r="F424" s="112" t="s">
        <v>78</v>
      </c>
      <c r="G424" s="112" t="s">
        <v>40</v>
      </c>
      <c r="H424" s="257"/>
      <c r="I424" s="335"/>
      <c r="J424" s="102">
        <v>25.95</v>
      </c>
      <c r="K424" s="103">
        <f t="shared" si="69"/>
        <v>27.248000000000001</v>
      </c>
      <c r="L424" s="103" t="str">
        <f>IF(I423=1,"-",IF(AND(I423="",#REF!="-"),"-",ROUNDUP((J424*0.2)+J424,3)))</f>
        <v>-</v>
      </c>
      <c r="M424" s="215"/>
      <c r="N424"/>
      <c r="O424"/>
      <c r="P424"/>
    </row>
    <row r="425" spans="1:42" s="6" customFormat="1" ht="26.1" customHeight="1">
      <c r="A425" s="333"/>
      <c r="B425" s="255"/>
      <c r="C425" s="334"/>
      <c r="D425" s="257"/>
      <c r="E425" s="112" t="s">
        <v>39</v>
      </c>
      <c r="F425" s="112" t="s">
        <v>79</v>
      </c>
      <c r="G425" s="112" t="s">
        <v>40</v>
      </c>
      <c r="H425" s="257"/>
      <c r="I425" s="335"/>
      <c r="J425" s="102">
        <v>26.5</v>
      </c>
      <c r="K425" s="103">
        <f t="shared" si="69"/>
        <v>27.824999999999999</v>
      </c>
      <c r="L425" s="103" t="str">
        <f>IF(I423=1,"-",IF(AND(I423="",#REF!="-"),"-",ROUNDUP((J425*0.2)+J425,3)))</f>
        <v>-</v>
      </c>
      <c r="M425" s="215"/>
      <c r="N425"/>
      <c r="O425"/>
      <c r="P425"/>
    </row>
    <row r="426" spans="1:42" ht="26.1" customHeight="1">
      <c r="A426" s="336">
        <v>223</v>
      </c>
      <c r="B426" s="337" t="s">
        <v>164</v>
      </c>
      <c r="C426" s="338" t="s">
        <v>332</v>
      </c>
      <c r="D426" s="339" t="s">
        <v>333</v>
      </c>
      <c r="E426" s="192" t="s">
        <v>107</v>
      </c>
      <c r="F426" s="192" t="s">
        <v>80</v>
      </c>
      <c r="G426" s="192" t="s">
        <v>40</v>
      </c>
      <c r="H426" s="339">
        <v>10</v>
      </c>
      <c r="I426" s="340">
        <v>1</v>
      </c>
      <c r="J426" s="168">
        <v>19.95</v>
      </c>
      <c r="K426" s="187">
        <f t="shared" si="69"/>
        <v>20.948</v>
      </c>
      <c r="L426" s="187" t="str">
        <f t="shared" ref="L426:L428" si="70">IF(I426=1,"-",IF(AND(I426="",L425="-"),"-",ROUNDUP((J426*0.2)+J426,3)))</f>
        <v>-</v>
      </c>
      <c r="M426" s="215"/>
    </row>
    <row r="427" spans="1:42" ht="26.1" customHeight="1">
      <c r="A427" s="336"/>
      <c r="B427" s="337"/>
      <c r="C427" s="338"/>
      <c r="D427" s="339"/>
      <c r="E427" s="192" t="s">
        <v>107</v>
      </c>
      <c r="F427" s="192" t="s">
        <v>78</v>
      </c>
      <c r="G427" s="192" t="s">
        <v>40</v>
      </c>
      <c r="H427" s="339"/>
      <c r="I427" s="340"/>
      <c r="J427" s="168">
        <v>20.95</v>
      </c>
      <c r="K427" s="187">
        <f t="shared" si="69"/>
        <v>21.998000000000001</v>
      </c>
      <c r="L427" s="187" t="str">
        <f t="shared" si="70"/>
        <v>-</v>
      </c>
      <c r="M427" s="215"/>
    </row>
    <row r="428" spans="1:42" ht="26.1" customHeight="1">
      <c r="A428" s="336"/>
      <c r="B428" s="337"/>
      <c r="C428" s="338"/>
      <c r="D428" s="339"/>
      <c r="E428" s="192" t="s">
        <v>107</v>
      </c>
      <c r="F428" s="192" t="s">
        <v>79</v>
      </c>
      <c r="G428" s="192" t="s">
        <v>40</v>
      </c>
      <c r="H428" s="339"/>
      <c r="I428" s="340"/>
      <c r="J428" s="168">
        <v>21.95</v>
      </c>
      <c r="K428" s="187">
        <f t="shared" si="69"/>
        <v>23.048000000000002</v>
      </c>
      <c r="L428" s="187" t="str">
        <f t="shared" si="70"/>
        <v>-</v>
      </c>
      <c r="M428" s="215"/>
    </row>
    <row r="429" spans="1:42" s="6" customFormat="1" ht="26.1" customHeight="1">
      <c r="A429" s="223">
        <v>224</v>
      </c>
      <c r="B429" s="330" t="s">
        <v>53</v>
      </c>
      <c r="C429" s="221">
        <v>5072</v>
      </c>
      <c r="D429" s="220" t="s">
        <v>167</v>
      </c>
      <c r="E429" s="61" t="s">
        <v>39</v>
      </c>
      <c r="F429" s="61" t="s">
        <v>62</v>
      </c>
      <c r="G429" s="61" t="s">
        <v>40</v>
      </c>
      <c r="H429" s="220">
        <v>10</v>
      </c>
      <c r="I429" s="290">
        <v>1</v>
      </c>
      <c r="J429" s="102">
        <v>15.75</v>
      </c>
      <c r="K429" s="103">
        <f t="shared" ref="K429:K445" si="71">IF(I429=1,(ROUNDUP((J429*0.05+J429),3)),ROUNDUP((J429*0.05+J429),3))</f>
        <v>16.538</v>
      </c>
      <c r="L429" s="103" t="str">
        <f>IF(I429=1,"-",IF(AND(I429="",#REF!="-"),"-",ROUNDUP((J429*0.2)+J429,3)))</f>
        <v>-</v>
      </c>
      <c r="M429" s="215"/>
      <c r="N429"/>
      <c r="O429"/>
      <c r="P429"/>
      <c r="Q429"/>
      <c r="R429"/>
      <c r="S429"/>
      <c r="T429"/>
      <c r="U429"/>
      <c r="V429"/>
      <c r="W429"/>
      <c r="X429"/>
      <c r="Y429"/>
      <c r="Z429"/>
      <c r="AA429"/>
      <c r="AB429"/>
      <c r="AC429"/>
      <c r="AD429"/>
      <c r="AE429"/>
      <c r="AF429"/>
      <c r="AG429"/>
      <c r="AH429"/>
      <c r="AI429"/>
      <c r="AJ429"/>
      <c r="AK429"/>
      <c r="AL429"/>
      <c r="AM429"/>
      <c r="AN429"/>
      <c r="AO429"/>
      <c r="AP429"/>
    </row>
    <row r="430" spans="1:42" s="6" customFormat="1" ht="26.1" customHeight="1">
      <c r="A430" s="223"/>
      <c r="B430" s="330"/>
      <c r="C430" s="221"/>
      <c r="D430" s="220"/>
      <c r="E430" s="61" t="s">
        <v>39</v>
      </c>
      <c r="F430" s="61" t="s">
        <v>78</v>
      </c>
      <c r="G430" s="61" t="s">
        <v>40</v>
      </c>
      <c r="H430" s="220"/>
      <c r="I430" s="290"/>
      <c r="J430" s="102">
        <v>16.5</v>
      </c>
      <c r="K430" s="103">
        <f t="shared" si="71"/>
        <v>17.324999999999999</v>
      </c>
      <c r="L430" s="103" t="str">
        <f>IF(I430=1,"-",IF(AND(I430="",L432="-"),"-",ROUNDUP((J430*0.2)+J430,3)))</f>
        <v>-</v>
      </c>
      <c r="M430" s="215"/>
      <c r="N430"/>
      <c r="O430"/>
      <c r="P430"/>
    </row>
    <row r="431" spans="1:42" s="6" customFormat="1" ht="26.1" customHeight="1">
      <c r="A431" s="310">
        <v>224</v>
      </c>
      <c r="B431" s="342" t="s">
        <v>53</v>
      </c>
      <c r="C431" s="312" t="s">
        <v>165</v>
      </c>
      <c r="D431" s="313" t="s">
        <v>166</v>
      </c>
      <c r="E431" s="185" t="s">
        <v>41</v>
      </c>
      <c r="F431" s="185" t="s">
        <v>62</v>
      </c>
      <c r="G431" s="185" t="s">
        <v>40</v>
      </c>
      <c r="H431" s="313">
        <v>10</v>
      </c>
      <c r="I431" s="326">
        <v>1</v>
      </c>
      <c r="J431" s="168">
        <v>15.75</v>
      </c>
      <c r="K431" s="187">
        <f t="shared" si="71"/>
        <v>16.538</v>
      </c>
      <c r="L431" s="187" t="str">
        <f>IF(I431=1,"-",IF(AND(I431="",L430="-"),"-",ROUNDUP((J431*0.2)+J431,3)))</f>
        <v>-</v>
      </c>
      <c r="M431" s="215"/>
      <c r="N431"/>
      <c r="O431"/>
      <c r="P431"/>
    </row>
    <row r="432" spans="1:42" ht="26.1" customHeight="1">
      <c r="A432" s="310"/>
      <c r="B432" s="342"/>
      <c r="C432" s="312"/>
      <c r="D432" s="313"/>
      <c r="E432" s="185" t="s">
        <v>41</v>
      </c>
      <c r="F432" s="185" t="s">
        <v>78</v>
      </c>
      <c r="G432" s="185" t="s">
        <v>40</v>
      </c>
      <c r="H432" s="313"/>
      <c r="I432" s="326"/>
      <c r="J432" s="168">
        <v>16.5</v>
      </c>
      <c r="K432" s="187">
        <f t="shared" si="71"/>
        <v>17.324999999999999</v>
      </c>
      <c r="L432" s="187" t="str">
        <f>IF(I432=1,"-",IF(AND(I432="",L429="-"),"-",ROUNDUP((J432*0.2)+J432,3)))</f>
        <v>-</v>
      </c>
      <c r="M432" s="215"/>
    </row>
    <row r="433" spans="1:42" ht="26.1" customHeight="1">
      <c r="A433" s="63">
        <v>227</v>
      </c>
      <c r="B433" s="64" t="s">
        <v>53</v>
      </c>
      <c r="C433" s="161">
        <v>5201</v>
      </c>
      <c r="D433" s="61" t="s">
        <v>124</v>
      </c>
      <c r="E433" s="61" t="s">
        <v>39</v>
      </c>
      <c r="F433" s="61" t="s">
        <v>64</v>
      </c>
      <c r="G433" s="61" t="s">
        <v>101</v>
      </c>
      <c r="H433" s="61">
        <v>10</v>
      </c>
      <c r="I433" s="65">
        <v>1</v>
      </c>
      <c r="J433" s="102">
        <v>29</v>
      </c>
      <c r="K433" s="103">
        <f t="shared" si="71"/>
        <v>30.45</v>
      </c>
      <c r="L433" s="103" t="str">
        <f>IF(I433=1,"-",IF(AND(I433="",L431="-"),"-",ROUNDUP((J433*0.2)+J433,3)))</f>
        <v>-</v>
      </c>
      <c r="M433" s="215"/>
    </row>
    <row r="434" spans="1:42" ht="26.1" customHeight="1">
      <c r="A434" s="188">
        <v>227</v>
      </c>
      <c r="B434" s="210" t="s">
        <v>53</v>
      </c>
      <c r="C434" s="184">
        <v>5202</v>
      </c>
      <c r="D434" s="185" t="s">
        <v>125</v>
      </c>
      <c r="E434" s="185" t="s">
        <v>39</v>
      </c>
      <c r="F434" s="185" t="s">
        <v>64</v>
      </c>
      <c r="G434" s="185" t="s">
        <v>101</v>
      </c>
      <c r="H434" s="185">
        <v>10</v>
      </c>
      <c r="I434" s="191">
        <v>1</v>
      </c>
      <c r="J434" s="168">
        <v>29</v>
      </c>
      <c r="K434" s="187">
        <f t="shared" si="71"/>
        <v>30.45</v>
      </c>
      <c r="L434" s="187" t="str">
        <f>IF(I434=1,"-",IF(AND(I434="",L433="-"),"-",ROUNDUP((J434*0.2)+J434,3)))</f>
        <v>-</v>
      </c>
      <c r="M434" s="215"/>
    </row>
    <row r="435" spans="1:42" s="6" customFormat="1" ht="26.1" customHeight="1">
      <c r="A435" s="315">
        <v>143</v>
      </c>
      <c r="B435" s="330" t="s">
        <v>53</v>
      </c>
      <c r="C435" s="317">
        <v>5074</v>
      </c>
      <c r="D435" s="257" t="s">
        <v>459</v>
      </c>
      <c r="E435" s="112" t="s">
        <v>39</v>
      </c>
      <c r="F435" s="112" t="s">
        <v>62</v>
      </c>
      <c r="G435" s="112" t="s">
        <v>40</v>
      </c>
      <c r="H435" s="257">
        <v>50</v>
      </c>
      <c r="I435" s="331">
        <v>1</v>
      </c>
      <c r="J435" s="102">
        <v>6.25</v>
      </c>
      <c r="K435" s="103">
        <f t="shared" si="71"/>
        <v>6.5630000000000006</v>
      </c>
      <c r="L435" s="103" t="str">
        <f>IF(I435=1,"-",IF(AND(I435="",L434="-"),"-",ROUNDUP((J435*0.2)+J435,3)))</f>
        <v>-</v>
      </c>
      <c r="M435" s="215"/>
      <c r="N435"/>
      <c r="O435"/>
      <c r="P435"/>
    </row>
    <row r="436" spans="1:42" s="6" customFormat="1" ht="26.1" customHeight="1">
      <c r="A436" s="315"/>
      <c r="B436" s="330"/>
      <c r="C436" s="317"/>
      <c r="D436" s="257"/>
      <c r="E436" s="112" t="s">
        <v>39</v>
      </c>
      <c r="F436" s="112" t="s">
        <v>78</v>
      </c>
      <c r="G436" s="112" t="s">
        <v>40</v>
      </c>
      <c r="H436" s="257"/>
      <c r="I436" s="331"/>
      <c r="J436" s="102">
        <v>6.6</v>
      </c>
      <c r="K436" s="103">
        <f t="shared" ref="K436" si="72">IF(I436=1,(ROUNDUP((J436*0.05+J436),3)),ROUNDUP((J436*0.05+J436),3))</f>
        <v>6.93</v>
      </c>
      <c r="L436" s="103" t="str">
        <f>IF(I436=1,"-",IF(AND(I436="",L435="-"),"-",ROUNDUP((J436*0.2)+J436,3)))</f>
        <v>-</v>
      </c>
      <c r="M436" s="215"/>
      <c r="N436"/>
      <c r="O436"/>
      <c r="P436"/>
    </row>
    <row r="437" spans="1:42" s="51" customFormat="1" ht="24.95" customHeight="1">
      <c r="A437" s="310">
        <v>228</v>
      </c>
      <c r="B437" s="324" t="s">
        <v>53</v>
      </c>
      <c r="C437" s="325">
        <v>5200</v>
      </c>
      <c r="D437" s="313" t="s">
        <v>73</v>
      </c>
      <c r="E437" s="185" t="s">
        <v>39</v>
      </c>
      <c r="F437" s="185" t="s">
        <v>62</v>
      </c>
      <c r="G437" s="185" t="s">
        <v>40</v>
      </c>
      <c r="H437" s="313">
        <v>50</v>
      </c>
      <c r="I437" s="326">
        <v>1</v>
      </c>
      <c r="J437" s="168">
        <v>6.25</v>
      </c>
      <c r="K437" s="187">
        <f t="shared" si="71"/>
        <v>6.5630000000000006</v>
      </c>
      <c r="L437" s="187" t="str">
        <f>IF(I437=1,"-",IF(AND(I437="",#REF!="-"),"-",ROUNDUP((J437*0.2)+J437,3)))</f>
        <v>-</v>
      </c>
      <c r="M437" s="215"/>
      <c r="N437"/>
      <c r="O437"/>
      <c r="P437"/>
    </row>
    <row r="438" spans="1:42" s="51" customFormat="1" ht="24.95" customHeight="1">
      <c r="A438" s="310"/>
      <c r="B438" s="324"/>
      <c r="C438" s="325"/>
      <c r="D438" s="313"/>
      <c r="E438" s="185" t="s">
        <v>39</v>
      </c>
      <c r="F438" s="185" t="s">
        <v>78</v>
      </c>
      <c r="G438" s="185" t="s">
        <v>40</v>
      </c>
      <c r="H438" s="313"/>
      <c r="I438" s="326"/>
      <c r="J438" s="168">
        <v>6.6</v>
      </c>
      <c r="K438" s="187">
        <f t="shared" ref="K438" si="73">IF(I438=1,(ROUNDUP((J438*0.05+J438),3)),ROUNDUP((J438*0.05+J438),3))</f>
        <v>6.93</v>
      </c>
      <c r="L438" s="187" t="str" cm="1">
        <f t="array" ref="L438">IF(I437=1,"-",IF(AND(I437="",#REF!="-"),"-",I432REDONDEAR.MAS((J438*0.2)+J438,3)))</f>
        <v>-</v>
      </c>
      <c r="M438" s="215"/>
      <c r="N438"/>
      <c r="O438"/>
      <c r="P438"/>
    </row>
    <row r="439" spans="1:42" s="51" customFormat="1" ht="24.95" customHeight="1">
      <c r="A439" s="63">
        <v>230</v>
      </c>
      <c r="B439" s="211" t="s">
        <v>53</v>
      </c>
      <c r="C439" s="60" t="s">
        <v>38</v>
      </c>
      <c r="D439" s="61" t="s">
        <v>37</v>
      </c>
      <c r="E439" s="61" t="s">
        <v>41</v>
      </c>
      <c r="F439" s="61" t="s">
        <v>62</v>
      </c>
      <c r="G439" s="61" t="s">
        <v>84</v>
      </c>
      <c r="H439" s="61">
        <v>50</v>
      </c>
      <c r="I439" s="83">
        <v>1</v>
      </c>
      <c r="J439" s="102">
        <v>6.3</v>
      </c>
      <c r="K439" s="103">
        <f t="shared" si="71"/>
        <v>6.6150000000000002</v>
      </c>
      <c r="L439" s="103" t="str">
        <f>IF(I439=1,"-",IF(AND(I439="",L437="-"),"-",ROUNDUP((J439*0.2)+J439,3)))</f>
        <v>-</v>
      </c>
      <c r="M439" s="215"/>
      <c r="N439"/>
      <c r="O439"/>
      <c r="P439"/>
    </row>
    <row r="440" spans="1:42" s="6" customFormat="1" ht="26.1" customHeight="1">
      <c r="A440" s="310">
        <v>230</v>
      </c>
      <c r="B440" s="343" t="s">
        <v>53</v>
      </c>
      <c r="C440" s="312">
        <v>1090</v>
      </c>
      <c r="D440" s="313" t="s">
        <v>13</v>
      </c>
      <c r="E440" s="185" t="s">
        <v>41</v>
      </c>
      <c r="F440" s="185" t="s">
        <v>62</v>
      </c>
      <c r="G440" s="185" t="s">
        <v>40</v>
      </c>
      <c r="H440" s="313">
        <v>50</v>
      </c>
      <c r="I440" s="314">
        <v>1</v>
      </c>
      <c r="J440" s="168">
        <v>6.9</v>
      </c>
      <c r="K440" s="187">
        <f t="shared" si="71"/>
        <v>7.2450000000000001</v>
      </c>
      <c r="L440" s="187" t="str">
        <f>IF(I440=1,"-",IF(AND(I440="",L443="-"),"-",ROUNDUP((J440*0.2)+J440,3)))</f>
        <v>-</v>
      </c>
      <c r="M440" s="215"/>
      <c r="N440"/>
      <c r="O440"/>
      <c r="P440"/>
      <c r="Q440"/>
      <c r="R440"/>
      <c r="S440"/>
      <c r="T440"/>
      <c r="U440"/>
      <c r="V440"/>
      <c r="W440"/>
      <c r="X440"/>
      <c r="Y440"/>
      <c r="Z440"/>
      <c r="AA440"/>
      <c r="AB440"/>
      <c r="AC440"/>
      <c r="AD440"/>
      <c r="AE440"/>
      <c r="AF440"/>
      <c r="AG440"/>
      <c r="AH440"/>
      <c r="AI440"/>
      <c r="AJ440"/>
      <c r="AK440"/>
      <c r="AL440"/>
      <c r="AM440"/>
      <c r="AN440"/>
      <c r="AO440"/>
      <c r="AP440"/>
    </row>
    <row r="441" spans="1:42" s="6" customFormat="1" ht="26.1" customHeight="1">
      <c r="A441" s="310"/>
      <c r="B441" s="343"/>
      <c r="C441" s="312"/>
      <c r="D441" s="313"/>
      <c r="E441" s="185" t="s">
        <v>41</v>
      </c>
      <c r="F441" s="185" t="s">
        <v>78</v>
      </c>
      <c r="G441" s="185" t="s">
        <v>103</v>
      </c>
      <c r="H441" s="313"/>
      <c r="I441" s="314"/>
      <c r="J441" s="168">
        <v>7.75</v>
      </c>
      <c r="K441" s="187">
        <f t="shared" si="71"/>
        <v>8.1379999999999999</v>
      </c>
      <c r="L441" s="187" t="str">
        <f>IF(I441=1,"-",IF(AND(I441="",L440="-"),"-",ROUNDUP((J441*0.2)+J441,3)))</f>
        <v>-</v>
      </c>
      <c r="M441" s="215"/>
      <c r="N441"/>
      <c r="O441"/>
      <c r="P441"/>
    </row>
    <row r="442" spans="1:42" s="6" customFormat="1" ht="25.5" customHeight="1">
      <c r="A442" s="63">
        <v>230</v>
      </c>
      <c r="B442" s="169" t="s">
        <v>164</v>
      </c>
      <c r="C442" s="60" t="s">
        <v>334</v>
      </c>
      <c r="D442" s="61" t="s">
        <v>335</v>
      </c>
      <c r="E442" s="61" t="s">
        <v>107</v>
      </c>
      <c r="F442" s="61" t="s">
        <v>177</v>
      </c>
      <c r="G442" s="61" t="s">
        <v>40</v>
      </c>
      <c r="H442" s="61">
        <v>25</v>
      </c>
      <c r="I442" s="83">
        <v>1</v>
      </c>
      <c r="J442" s="102">
        <v>11.95</v>
      </c>
      <c r="K442" s="103">
        <f t="shared" si="71"/>
        <v>12.548</v>
      </c>
      <c r="L442" s="103" t="str">
        <f>IF(I442=1,"-",IF(AND(I442="",L441="-"),"-",ROUNDUP((J442*0.2)+J442,3)))</f>
        <v>-</v>
      </c>
      <c r="M442" s="215"/>
      <c r="N442"/>
      <c r="O442"/>
      <c r="P442"/>
    </row>
    <row r="443" spans="1:42" s="6" customFormat="1" ht="26.1" customHeight="1">
      <c r="A443" s="188">
        <v>231</v>
      </c>
      <c r="B443" s="212" t="s">
        <v>53</v>
      </c>
      <c r="C443" s="189" t="s">
        <v>159</v>
      </c>
      <c r="D443" s="185" t="s">
        <v>158</v>
      </c>
      <c r="E443" s="185" t="s">
        <v>107</v>
      </c>
      <c r="F443" s="185" t="s">
        <v>80</v>
      </c>
      <c r="G443" s="185" t="s">
        <v>40</v>
      </c>
      <c r="H443" s="185">
        <v>25</v>
      </c>
      <c r="I443" s="186">
        <v>1</v>
      </c>
      <c r="J443" s="168">
        <v>12.95</v>
      </c>
      <c r="K443" s="187">
        <f t="shared" si="71"/>
        <v>13.597999999999999</v>
      </c>
      <c r="L443" s="187" t="str">
        <f>IF(I443=1,"-",IF(AND(I443="",#REF!="-"),"-",ROUNDUP((J443*0.2)+J443,3)))</f>
        <v>-</v>
      </c>
      <c r="M443" s="215"/>
      <c r="N443"/>
      <c r="O443"/>
      <c r="P443"/>
      <c r="Q443"/>
      <c r="R443"/>
      <c r="S443"/>
      <c r="T443"/>
      <c r="U443"/>
      <c r="V443"/>
      <c r="W443"/>
      <c r="X443"/>
      <c r="Y443"/>
      <c r="Z443"/>
      <c r="AA443"/>
      <c r="AB443"/>
      <c r="AC443"/>
      <c r="AD443"/>
      <c r="AE443"/>
      <c r="AF443"/>
      <c r="AG443"/>
      <c r="AH443"/>
      <c r="AI443"/>
      <c r="AJ443"/>
      <c r="AK443"/>
      <c r="AL443"/>
      <c r="AM443"/>
      <c r="AN443"/>
      <c r="AO443"/>
      <c r="AP443"/>
    </row>
    <row r="444" spans="1:42" s="6" customFormat="1" ht="26.1" customHeight="1">
      <c r="A444" s="63">
        <v>231</v>
      </c>
      <c r="B444" s="64" t="s">
        <v>53</v>
      </c>
      <c r="C444" s="161" t="s">
        <v>75</v>
      </c>
      <c r="D444" s="61" t="s">
        <v>76</v>
      </c>
      <c r="E444" s="61" t="s">
        <v>107</v>
      </c>
      <c r="F444" s="61" t="s">
        <v>108</v>
      </c>
      <c r="G444" s="61" t="s">
        <v>84</v>
      </c>
      <c r="H444" s="61">
        <v>50</v>
      </c>
      <c r="I444" s="65">
        <v>1</v>
      </c>
      <c r="J444" s="102">
        <v>6.5</v>
      </c>
      <c r="K444" s="103">
        <f t="shared" si="71"/>
        <v>6.8250000000000002</v>
      </c>
      <c r="L444" s="103" t="str">
        <f>IF(I444=1,"-",IF(AND(I444="",L441="-"),"-",ROUNDUP((J444*0.2)+J444,3)))</f>
        <v>-</v>
      </c>
      <c r="M444" s="215"/>
      <c r="N444"/>
      <c r="O444"/>
      <c r="P444"/>
    </row>
    <row r="445" spans="1:42" s="6" customFormat="1" ht="26.1" customHeight="1">
      <c r="A445" s="188">
        <v>231</v>
      </c>
      <c r="B445" s="183" t="s">
        <v>53</v>
      </c>
      <c r="C445" s="184" t="s">
        <v>50</v>
      </c>
      <c r="D445" s="185" t="s">
        <v>51</v>
      </c>
      <c r="E445" s="185" t="s">
        <v>39</v>
      </c>
      <c r="F445" s="185" t="s">
        <v>80</v>
      </c>
      <c r="G445" s="185" t="s">
        <v>40</v>
      </c>
      <c r="H445" s="185">
        <v>50</v>
      </c>
      <c r="I445" s="191">
        <v>1</v>
      </c>
      <c r="J445" s="168">
        <v>6.5</v>
      </c>
      <c r="K445" s="187">
        <f t="shared" si="71"/>
        <v>6.8250000000000002</v>
      </c>
      <c r="L445" s="187" t="str">
        <f>IF(I445=1,"-",IF(AND(I445="",L444="-"),"-",ROUNDUP((J445*0.2)+J445,3)))</f>
        <v>-</v>
      </c>
      <c r="M445" s="215"/>
      <c r="N445"/>
      <c r="O445"/>
      <c r="P445"/>
    </row>
    <row r="446" spans="1:42" s="6" customFormat="1" ht="26.1" customHeight="1">
      <c r="A446" s="341" t="s">
        <v>128</v>
      </c>
      <c r="B446" s="341"/>
      <c r="C446" s="341"/>
      <c r="D446" s="341"/>
      <c r="E446" s="341"/>
      <c r="F446" s="341"/>
      <c r="G446" s="341"/>
      <c r="H446" s="341"/>
      <c r="I446" s="341"/>
      <c r="J446" s="341"/>
      <c r="K446" s="341"/>
      <c r="L446" s="341"/>
      <c r="M446" s="215"/>
      <c r="N446"/>
      <c r="O446"/>
      <c r="P446"/>
    </row>
    <row r="447" spans="1:42" s="11" customFormat="1" ht="21.75" customHeight="1">
      <c r="A447" s="85">
        <v>242</v>
      </c>
      <c r="B447" s="193" t="s">
        <v>164</v>
      </c>
      <c r="C447" s="56" t="s">
        <v>336</v>
      </c>
      <c r="D447" s="55" t="s">
        <v>337</v>
      </c>
      <c r="E447" s="55" t="s">
        <v>107</v>
      </c>
      <c r="F447" s="163" t="s">
        <v>0</v>
      </c>
      <c r="G447" s="55" t="s">
        <v>40</v>
      </c>
      <c r="H447" s="55">
        <v>250</v>
      </c>
      <c r="I447" s="164">
        <v>10</v>
      </c>
      <c r="J447" s="102">
        <v>1.5</v>
      </c>
      <c r="K447" s="103">
        <f t="shared" ref="K447" si="74">IF(I447=1,(ROUNDUP((J447*0.05+J447),3)),ROUNDUP((J447*0.05+J447),3))</f>
        <v>1.575</v>
      </c>
      <c r="L447" s="103">
        <f>IF(I447=1,"-",IF(AND(I447="",L445="-"),"-",ROUNDUP((J447*0.2)+J447,3)))</f>
        <v>1.8</v>
      </c>
      <c r="M447" s="215"/>
      <c r="N447"/>
      <c r="O447"/>
      <c r="P447"/>
      <c r="Q447"/>
      <c r="R447"/>
      <c r="S447"/>
      <c r="T447"/>
      <c r="U447"/>
      <c r="V447"/>
      <c r="W447"/>
      <c r="X447"/>
      <c r="Y447"/>
      <c r="Z447"/>
      <c r="AA447"/>
      <c r="AB447"/>
      <c r="AC447"/>
      <c r="AD447"/>
      <c r="AE447"/>
      <c r="AF447"/>
      <c r="AG447"/>
      <c r="AH447"/>
      <c r="AI447"/>
      <c r="AJ447"/>
      <c r="AK447"/>
      <c r="AL447"/>
      <c r="AM447"/>
      <c r="AN447"/>
      <c r="AO447"/>
      <c r="AP447"/>
    </row>
    <row r="448" spans="1:42" s="6" customFormat="1" ht="35.25" customHeight="1">
      <c r="A448" s="181"/>
      <c r="B448" s="181"/>
      <c r="C448" s="181"/>
      <c r="D448" s="181"/>
      <c r="E448" s="181"/>
      <c r="F448" s="244" t="s">
        <v>112</v>
      </c>
      <c r="G448" s="244"/>
      <c r="H448" s="244"/>
      <c r="I448" s="244"/>
      <c r="J448" s="194"/>
      <c r="M448" s="215"/>
      <c r="Q448"/>
      <c r="R448"/>
      <c r="S448"/>
    </row>
    <row r="449" spans="1:19" s="6" customFormat="1" ht="24" customHeight="1">
      <c r="A449" s="22" t="s">
        <v>25</v>
      </c>
      <c r="B449" s="22" t="s">
        <v>338</v>
      </c>
      <c r="C449" s="22" t="s">
        <v>339</v>
      </c>
      <c r="D449" s="36" t="s">
        <v>340</v>
      </c>
      <c r="E449" s="36" t="s">
        <v>341</v>
      </c>
      <c r="F449" s="245" t="s">
        <v>342</v>
      </c>
      <c r="G449" s="245"/>
      <c r="H449" s="245"/>
      <c r="I449" s="245"/>
      <c r="J449" s="195"/>
      <c r="M449" s="215"/>
    </row>
    <row r="450" spans="1:19" s="6" customFormat="1" ht="14.25" customHeight="1">
      <c r="A450" s="196" t="s">
        <v>34</v>
      </c>
      <c r="B450" s="196" t="s">
        <v>338</v>
      </c>
      <c r="C450" s="196" t="s">
        <v>339</v>
      </c>
      <c r="D450" s="36" t="s">
        <v>343</v>
      </c>
      <c r="E450" s="36" t="s">
        <v>344</v>
      </c>
      <c r="F450" s="197" t="s">
        <v>345</v>
      </c>
      <c r="G450" s="197" t="s">
        <v>346</v>
      </c>
      <c r="H450" s="197" t="s">
        <v>347</v>
      </c>
      <c r="I450" s="197" t="s">
        <v>348</v>
      </c>
      <c r="M450" s="215"/>
      <c r="Q450"/>
      <c r="R450"/>
      <c r="S450"/>
    </row>
    <row r="451" spans="1:19" s="6" customFormat="1" ht="14.25" customHeight="1">
      <c r="A451" s="198" t="s">
        <v>35</v>
      </c>
      <c r="B451" s="198" t="s">
        <v>338</v>
      </c>
      <c r="C451" s="198" t="s">
        <v>339</v>
      </c>
      <c r="D451" s="37" t="s">
        <v>349</v>
      </c>
      <c r="E451" s="37" t="s">
        <v>344</v>
      </c>
      <c r="F451" s="197"/>
      <c r="G451" s="197"/>
      <c r="H451" s="197"/>
      <c r="I451" s="197"/>
      <c r="M451" s="215"/>
    </row>
    <row r="452" spans="1:19" ht="24.95" customHeight="1">
      <c r="A452" s="223">
        <v>234</v>
      </c>
      <c r="B452" s="239" t="s">
        <v>53</v>
      </c>
      <c r="C452" s="240" t="s">
        <v>350</v>
      </c>
      <c r="D452" s="220" t="s">
        <v>351</v>
      </c>
      <c r="E452" s="61" t="s">
        <v>352</v>
      </c>
      <c r="F452" s="232" t="s">
        <v>353</v>
      </c>
      <c r="G452" s="233"/>
      <c r="H452" s="233"/>
      <c r="I452" s="234"/>
      <c r="J452" s="199"/>
      <c r="K452" s="199"/>
      <c r="L452" s="199"/>
      <c r="M452" s="215"/>
      <c r="N452" s="6"/>
      <c r="O452" s="6"/>
    </row>
    <row r="453" spans="1:19" s="6" customFormat="1" ht="24.95" customHeight="1">
      <c r="A453" s="223"/>
      <c r="B453" s="239"/>
      <c r="C453" s="240"/>
      <c r="D453" s="220"/>
      <c r="E453" s="61" t="s">
        <v>354</v>
      </c>
      <c r="F453" s="232" t="s">
        <v>353</v>
      </c>
      <c r="G453" s="233"/>
      <c r="H453" s="233"/>
      <c r="I453" s="234"/>
      <c r="J453" s="199"/>
      <c r="K453" s="199"/>
      <c r="L453" s="199"/>
      <c r="M453" s="215"/>
    </row>
    <row r="454" spans="1:19" s="206" customFormat="1" ht="24.95" customHeight="1">
      <c r="A454" s="200">
        <v>234</v>
      </c>
      <c r="B454" s="201" t="s">
        <v>53</v>
      </c>
      <c r="C454" s="202" t="s">
        <v>355</v>
      </c>
      <c r="D454" s="203" t="s">
        <v>356</v>
      </c>
      <c r="E454" s="203" t="s">
        <v>352</v>
      </c>
      <c r="F454" s="235" t="s">
        <v>353</v>
      </c>
      <c r="G454" s="236"/>
      <c r="H454" s="236"/>
      <c r="I454" s="237"/>
      <c r="J454" s="204"/>
      <c r="K454" s="204"/>
      <c r="L454" s="204"/>
      <c r="M454" s="215"/>
      <c r="N454" s="205"/>
      <c r="O454" s="205"/>
    </row>
    <row r="455" spans="1:19" s="206" customFormat="1" ht="24.95" customHeight="1">
      <c r="A455" s="85">
        <v>234</v>
      </c>
      <c r="B455" s="67" t="s">
        <v>53</v>
      </c>
      <c r="C455" s="60" t="s">
        <v>377</v>
      </c>
      <c r="D455" s="61" t="s">
        <v>376</v>
      </c>
      <c r="E455" s="61" t="s">
        <v>352</v>
      </c>
      <c r="F455" s="232" t="s">
        <v>353</v>
      </c>
      <c r="G455" s="233"/>
      <c r="H455" s="233"/>
      <c r="I455" s="234"/>
      <c r="J455" s="204"/>
      <c r="K455" s="204"/>
      <c r="L455" s="204"/>
      <c r="M455" s="215"/>
      <c r="N455" s="205"/>
      <c r="O455" s="205"/>
    </row>
    <row r="456" spans="1:19" s="6" customFormat="1" ht="24.95" customHeight="1">
      <c r="A456" s="238">
        <v>234</v>
      </c>
      <c r="B456" s="241" t="s">
        <v>53</v>
      </c>
      <c r="C456" s="242" t="s">
        <v>357</v>
      </c>
      <c r="D456" s="243" t="s">
        <v>358</v>
      </c>
      <c r="E456" s="203" t="s">
        <v>352</v>
      </c>
      <c r="F456" s="246" t="s">
        <v>353</v>
      </c>
      <c r="G456" s="247"/>
      <c r="H456" s="247"/>
      <c r="I456" s="248"/>
      <c r="J456" s="199"/>
      <c r="K456" s="199"/>
      <c r="L456" s="199"/>
      <c r="M456" s="215"/>
    </row>
    <row r="457" spans="1:19" ht="22.5" customHeight="1">
      <c r="A457" s="238"/>
      <c r="B457" s="241"/>
      <c r="C457" s="242"/>
      <c r="D457" s="243"/>
      <c r="E457" s="203" t="s">
        <v>354</v>
      </c>
      <c r="F457" s="246" t="s">
        <v>353</v>
      </c>
      <c r="G457" s="247"/>
      <c r="H457" s="247"/>
      <c r="I457" s="248"/>
      <c r="J457" s="199"/>
      <c r="K457" s="199"/>
      <c r="L457" s="199"/>
      <c r="M457" s="215"/>
      <c r="N457" s="6"/>
      <c r="O457" s="6"/>
    </row>
    <row r="458" spans="1:19" ht="22.5" customHeight="1">
      <c r="A458" s="85">
        <v>234</v>
      </c>
      <c r="B458" s="208" t="s">
        <v>53</v>
      </c>
      <c r="C458" s="60" t="s">
        <v>379</v>
      </c>
      <c r="D458" s="61" t="s">
        <v>378</v>
      </c>
      <c r="E458" s="61" t="s">
        <v>352</v>
      </c>
      <c r="F458" s="232" t="s">
        <v>353</v>
      </c>
      <c r="G458" s="233"/>
      <c r="H458" s="233"/>
      <c r="I458" s="234"/>
      <c r="J458" s="199"/>
      <c r="K458" s="199"/>
      <c r="L458" s="199"/>
      <c r="M458" s="215"/>
      <c r="N458" s="6"/>
      <c r="O458" s="6"/>
    </row>
    <row r="459" spans="1:19" ht="22.5" customHeight="1">
      <c r="A459" s="200">
        <v>234</v>
      </c>
      <c r="B459" s="201" t="s">
        <v>53</v>
      </c>
      <c r="C459" s="202" t="s">
        <v>381</v>
      </c>
      <c r="D459" s="203" t="s">
        <v>380</v>
      </c>
      <c r="E459" s="203" t="s">
        <v>352</v>
      </c>
      <c r="F459" s="235" t="s">
        <v>353</v>
      </c>
      <c r="G459" s="236"/>
      <c r="H459" s="236"/>
      <c r="I459" s="237"/>
      <c r="J459" s="199"/>
      <c r="K459" s="199"/>
      <c r="L459" s="199"/>
      <c r="M459" s="215"/>
      <c r="N459" s="6"/>
      <c r="O459" s="6"/>
    </row>
    <row r="460" spans="1:19" ht="22.5" customHeight="1">
      <c r="A460" s="85">
        <v>235</v>
      </c>
      <c r="B460" s="67" t="s">
        <v>53</v>
      </c>
      <c r="C460" s="60" t="s">
        <v>371</v>
      </c>
      <c r="D460" s="61" t="s">
        <v>372</v>
      </c>
      <c r="E460" s="61" t="s">
        <v>352</v>
      </c>
      <c r="F460" s="232" t="s">
        <v>353</v>
      </c>
      <c r="G460" s="233"/>
      <c r="H460" s="233"/>
      <c r="I460" s="234"/>
      <c r="J460" s="199"/>
      <c r="K460" s="199"/>
      <c r="L460" s="199"/>
      <c r="M460" s="215"/>
      <c r="N460" s="6"/>
      <c r="O460" s="6"/>
    </row>
    <row r="461" spans="1:19" ht="22.5" customHeight="1">
      <c r="A461" s="200">
        <v>235</v>
      </c>
      <c r="B461" s="207" t="s">
        <v>53</v>
      </c>
      <c r="C461" s="202" t="s">
        <v>383</v>
      </c>
      <c r="D461" s="203" t="s">
        <v>382</v>
      </c>
      <c r="E461" s="203" t="s">
        <v>361</v>
      </c>
      <c r="F461" s="235" t="s">
        <v>353</v>
      </c>
      <c r="G461" s="236"/>
      <c r="H461" s="236"/>
      <c r="I461" s="237"/>
      <c r="J461" s="199"/>
      <c r="K461" s="199"/>
      <c r="L461" s="199"/>
      <c r="M461" s="215"/>
      <c r="N461" s="6"/>
      <c r="O461" s="6"/>
    </row>
    <row r="462" spans="1:19" ht="24.95" customHeight="1">
      <c r="A462" s="85">
        <v>235</v>
      </c>
      <c r="B462" s="208" t="s">
        <v>53</v>
      </c>
      <c r="C462" s="60" t="s">
        <v>365</v>
      </c>
      <c r="D462" s="61" t="s">
        <v>366</v>
      </c>
      <c r="E462" s="61" t="s">
        <v>364</v>
      </c>
      <c r="F462" s="232" t="s">
        <v>353</v>
      </c>
      <c r="G462" s="233"/>
      <c r="H462" s="233"/>
      <c r="I462" s="234"/>
      <c r="J462" s="199"/>
      <c r="K462" s="199"/>
      <c r="L462" s="199"/>
      <c r="M462" s="215"/>
      <c r="N462" s="6"/>
      <c r="O462" s="6"/>
    </row>
    <row r="463" spans="1:19" ht="24.95" customHeight="1">
      <c r="A463" s="200">
        <v>235</v>
      </c>
      <c r="B463" s="201" t="s">
        <v>53</v>
      </c>
      <c r="C463" s="202" t="s">
        <v>367</v>
      </c>
      <c r="D463" s="203" t="s">
        <v>368</v>
      </c>
      <c r="E463" s="203" t="s">
        <v>361</v>
      </c>
      <c r="F463" s="235" t="s">
        <v>353</v>
      </c>
      <c r="G463" s="236"/>
      <c r="H463" s="236"/>
      <c r="I463" s="237"/>
      <c r="J463" s="199"/>
      <c r="K463" s="199"/>
      <c r="L463" s="199"/>
      <c r="M463" s="215"/>
      <c r="N463" s="6"/>
      <c r="O463" s="6"/>
    </row>
    <row r="464" spans="1:19" ht="24.95" customHeight="1">
      <c r="A464" s="85">
        <v>235</v>
      </c>
      <c r="B464" s="208" t="s">
        <v>53</v>
      </c>
      <c r="C464" s="60" t="s">
        <v>359</v>
      </c>
      <c r="D464" s="61" t="s">
        <v>360</v>
      </c>
      <c r="E464" s="61" t="s">
        <v>361</v>
      </c>
      <c r="F464" s="232" t="s">
        <v>353</v>
      </c>
      <c r="G464" s="233"/>
      <c r="H464" s="233"/>
      <c r="I464" s="234"/>
      <c r="J464" s="199"/>
      <c r="K464" s="199"/>
      <c r="L464" s="199"/>
      <c r="M464" s="215"/>
      <c r="N464" s="6"/>
      <c r="O464" s="6"/>
    </row>
    <row r="465" spans="1:15" s="6" customFormat="1" ht="24.95" customHeight="1">
      <c r="A465" s="200">
        <v>235</v>
      </c>
      <c r="B465" s="201" t="s">
        <v>53</v>
      </c>
      <c r="C465" s="202" t="s">
        <v>362</v>
      </c>
      <c r="D465" s="203" t="s">
        <v>363</v>
      </c>
      <c r="E465" s="203" t="s">
        <v>364</v>
      </c>
      <c r="F465" s="235" t="s">
        <v>353</v>
      </c>
      <c r="G465" s="236"/>
      <c r="H465" s="236"/>
      <c r="I465" s="237"/>
      <c r="J465" s="199"/>
      <c r="K465" s="199"/>
      <c r="L465" s="199"/>
      <c r="M465" s="215"/>
    </row>
    <row r="466" spans="1:15" s="6" customFormat="1" ht="24.95" customHeight="1">
      <c r="A466" s="85">
        <v>236</v>
      </c>
      <c r="B466" s="208" t="s">
        <v>53</v>
      </c>
      <c r="C466" s="60" t="s">
        <v>374</v>
      </c>
      <c r="D466" s="61" t="s">
        <v>375</v>
      </c>
      <c r="E466" s="61" t="s">
        <v>373</v>
      </c>
      <c r="F466" s="232" t="s">
        <v>353</v>
      </c>
      <c r="G466" s="233"/>
      <c r="H466" s="233"/>
      <c r="I466" s="234"/>
      <c r="J466" s="199"/>
      <c r="K466" s="199"/>
      <c r="L466" s="199"/>
      <c r="M466" s="215"/>
    </row>
    <row r="467" spans="1:15" ht="22.5" customHeight="1">
      <c r="A467" s="200">
        <v>236</v>
      </c>
      <c r="B467" s="207" t="s">
        <v>53</v>
      </c>
      <c r="C467" s="202" t="s">
        <v>385</v>
      </c>
      <c r="D467" s="203" t="s">
        <v>384</v>
      </c>
      <c r="E467" s="203" t="s">
        <v>373</v>
      </c>
      <c r="F467" s="235" t="s">
        <v>353</v>
      </c>
      <c r="G467" s="236"/>
      <c r="H467" s="236"/>
      <c r="I467" s="237"/>
      <c r="J467" s="199"/>
      <c r="K467" s="199"/>
      <c r="L467" s="199"/>
      <c r="M467" s="215"/>
      <c r="N467" s="6"/>
      <c r="O467" s="6"/>
    </row>
    <row r="468" spans="1:15" ht="22.5" customHeight="1">
      <c r="A468" s="85">
        <v>236</v>
      </c>
      <c r="B468" s="67" t="s">
        <v>53</v>
      </c>
      <c r="C468" s="60" t="s">
        <v>387</v>
      </c>
      <c r="D468" s="61" t="s">
        <v>386</v>
      </c>
      <c r="E468" s="61" t="s">
        <v>373</v>
      </c>
      <c r="F468" s="232" t="s">
        <v>353</v>
      </c>
      <c r="G468" s="233"/>
      <c r="H468" s="233"/>
      <c r="I468" s="234"/>
      <c r="J468" s="199"/>
      <c r="K468" s="199"/>
      <c r="L468" s="199"/>
      <c r="M468" s="215"/>
      <c r="N468" s="6"/>
      <c r="O468" s="6"/>
    </row>
    <row r="469" spans="1:15" ht="22.5" customHeight="1">
      <c r="A469" s="200">
        <v>236</v>
      </c>
      <c r="B469" s="207" t="s">
        <v>53</v>
      </c>
      <c r="C469" s="202" t="s">
        <v>388</v>
      </c>
      <c r="D469" s="203" t="s">
        <v>389</v>
      </c>
      <c r="E469" s="203" t="s">
        <v>373</v>
      </c>
      <c r="F469" s="235" t="s">
        <v>353</v>
      </c>
      <c r="G469" s="236"/>
      <c r="H469" s="236"/>
      <c r="I469" s="237"/>
      <c r="J469" s="199"/>
      <c r="K469" s="199"/>
      <c r="L469" s="199"/>
      <c r="M469" s="215"/>
      <c r="N469" s="6"/>
      <c r="O469" s="6"/>
    </row>
    <row r="470" spans="1:15" ht="22.5" customHeight="1">
      <c r="A470" s="85">
        <v>236</v>
      </c>
      <c r="B470" s="67" t="s">
        <v>53</v>
      </c>
      <c r="C470" s="60" t="s">
        <v>390</v>
      </c>
      <c r="D470" s="61" t="s">
        <v>391</v>
      </c>
      <c r="E470" s="61" t="s">
        <v>373</v>
      </c>
      <c r="F470" s="232" t="s">
        <v>353</v>
      </c>
      <c r="G470" s="233"/>
      <c r="H470" s="233"/>
      <c r="I470" s="234"/>
      <c r="J470" s="199"/>
      <c r="K470" s="199"/>
      <c r="L470" s="199"/>
      <c r="M470" s="215"/>
      <c r="N470" s="6"/>
      <c r="O470" s="6"/>
    </row>
    <row r="471" spans="1:15" ht="22.5" customHeight="1">
      <c r="A471" s="200">
        <v>236</v>
      </c>
      <c r="B471" s="207" t="s">
        <v>53</v>
      </c>
      <c r="C471" s="202" t="s">
        <v>392</v>
      </c>
      <c r="D471" s="203" t="s">
        <v>393</v>
      </c>
      <c r="E471" s="203" t="s">
        <v>373</v>
      </c>
      <c r="F471" s="235" t="s">
        <v>353</v>
      </c>
      <c r="G471" s="236"/>
      <c r="H471" s="236"/>
      <c r="I471" s="237"/>
      <c r="J471" s="199"/>
      <c r="K471" s="199"/>
      <c r="L471" s="199"/>
      <c r="M471" s="215"/>
      <c r="N471" s="6"/>
      <c r="O471" s="6"/>
    </row>
    <row r="472" spans="1:15" ht="22.5" customHeight="1">
      <c r="A472" s="85">
        <v>237</v>
      </c>
      <c r="B472" s="67" t="s">
        <v>53</v>
      </c>
      <c r="C472" s="60" t="s">
        <v>394</v>
      </c>
      <c r="D472" s="61" t="s">
        <v>395</v>
      </c>
      <c r="E472" s="61" t="s">
        <v>373</v>
      </c>
      <c r="F472" s="232" t="s">
        <v>353</v>
      </c>
      <c r="G472" s="233"/>
      <c r="H472" s="233"/>
      <c r="I472" s="234"/>
      <c r="J472" s="199"/>
      <c r="K472" s="199"/>
      <c r="L472" s="199"/>
      <c r="M472" s="215"/>
      <c r="N472" s="6"/>
      <c r="O472" s="6"/>
    </row>
    <row r="473" spans="1:15" ht="22.5" customHeight="1">
      <c r="A473" s="200">
        <v>237</v>
      </c>
      <c r="B473" s="207" t="s">
        <v>53</v>
      </c>
      <c r="C473" s="202" t="s">
        <v>396</v>
      </c>
      <c r="D473" s="203" t="s">
        <v>397</v>
      </c>
      <c r="E473" s="203" t="s">
        <v>373</v>
      </c>
      <c r="F473" s="235" t="s">
        <v>353</v>
      </c>
      <c r="G473" s="236"/>
      <c r="H473" s="236"/>
      <c r="I473" s="237"/>
      <c r="J473" s="199"/>
      <c r="K473" s="199"/>
      <c r="L473" s="199"/>
      <c r="M473" s="215"/>
      <c r="N473" s="6"/>
      <c r="O473" s="6"/>
    </row>
    <row r="474" spans="1:15" ht="22.5" customHeight="1">
      <c r="A474" s="85">
        <v>237</v>
      </c>
      <c r="B474" s="67" t="s">
        <v>53</v>
      </c>
      <c r="C474" s="60" t="s">
        <v>398</v>
      </c>
      <c r="D474" s="61" t="s">
        <v>399</v>
      </c>
      <c r="E474" s="61" t="s">
        <v>373</v>
      </c>
      <c r="F474" s="232" t="s">
        <v>353</v>
      </c>
      <c r="G474" s="233"/>
      <c r="H474" s="233"/>
      <c r="I474" s="234"/>
      <c r="J474" s="199"/>
      <c r="K474" s="199"/>
      <c r="L474" s="199"/>
      <c r="M474" s="215"/>
      <c r="N474" s="6"/>
      <c r="O474" s="6"/>
    </row>
    <row r="475" spans="1:15" ht="22.5" customHeight="1">
      <c r="A475" s="200">
        <v>237</v>
      </c>
      <c r="B475" s="207" t="s">
        <v>53</v>
      </c>
      <c r="C475" s="202" t="s">
        <v>400</v>
      </c>
      <c r="D475" s="203" t="s">
        <v>401</v>
      </c>
      <c r="E475" s="203" t="s">
        <v>373</v>
      </c>
      <c r="F475" s="235" t="s">
        <v>353</v>
      </c>
      <c r="G475" s="236"/>
      <c r="H475" s="236"/>
      <c r="I475" s="237"/>
      <c r="J475" s="199"/>
      <c r="K475" s="199"/>
      <c r="L475" s="199"/>
      <c r="M475" s="215"/>
      <c r="N475" s="6"/>
      <c r="O475" s="6"/>
    </row>
    <row r="476" spans="1:15" ht="22.5" customHeight="1">
      <c r="A476" s="85">
        <v>238</v>
      </c>
      <c r="B476" s="67" t="s">
        <v>53</v>
      </c>
      <c r="C476" s="60" t="s">
        <v>402</v>
      </c>
      <c r="D476" s="61" t="s">
        <v>403</v>
      </c>
      <c r="E476" s="61" t="s">
        <v>410</v>
      </c>
      <c r="F476" s="232" t="s">
        <v>353</v>
      </c>
      <c r="G476" s="233"/>
      <c r="H476" s="233"/>
      <c r="I476" s="234"/>
      <c r="J476" s="199"/>
      <c r="K476" s="199"/>
      <c r="L476" s="199"/>
      <c r="M476" s="215"/>
      <c r="N476" s="6"/>
      <c r="O476" s="6"/>
    </row>
    <row r="477" spans="1:15" ht="22.5" customHeight="1">
      <c r="A477" s="200">
        <v>238</v>
      </c>
      <c r="B477" s="207" t="s">
        <v>53</v>
      </c>
      <c r="C477" s="202" t="s">
        <v>404</v>
      </c>
      <c r="D477" s="203" t="s">
        <v>405</v>
      </c>
      <c r="E477" s="203" t="s">
        <v>410</v>
      </c>
      <c r="F477" s="235" t="s">
        <v>353</v>
      </c>
      <c r="G477" s="236"/>
      <c r="H477" s="236"/>
      <c r="I477" s="237"/>
      <c r="J477" s="199"/>
      <c r="K477" s="199"/>
      <c r="L477" s="199"/>
      <c r="M477" s="215"/>
      <c r="N477" s="6"/>
      <c r="O477" s="6"/>
    </row>
    <row r="478" spans="1:15" ht="22.5" customHeight="1">
      <c r="A478" s="85">
        <v>238</v>
      </c>
      <c r="B478" s="67" t="s">
        <v>53</v>
      </c>
      <c r="C478" s="60" t="s">
        <v>406</v>
      </c>
      <c r="D478" s="61" t="s">
        <v>407</v>
      </c>
      <c r="E478" s="61" t="s">
        <v>411</v>
      </c>
      <c r="F478" s="232" t="s">
        <v>353</v>
      </c>
      <c r="G478" s="233"/>
      <c r="H478" s="233"/>
      <c r="I478" s="234"/>
      <c r="J478" s="199"/>
      <c r="K478" s="199"/>
      <c r="L478" s="199"/>
      <c r="M478" s="215"/>
      <c r="N478" s="6"/>
      <c r="O478" s="6"/>
    </row>
    <row r="479" spans="1:15" ht="22.5" customHeight="1">
      <c r="A479" s="200">
        <v>238</v>
      </c>
      <c r="B479" s="207" t="s">
        <v>53</v>
      </c>
      <c r="C479" s="202" t="s">
        <v>408</v>
      </c>
      <c r="D479" s="203" t="s">
        <v>409</v>
      </c>
      <c r="E479" s="203" t="s">
        <v>411</v>
      </c>
      <c r="F479" s="235" t="s">
        <v>353</v>
      </c>
      <c r="G479" s="236"/>
      <c r="H479" s="236"/>
      <c r="I479" s="237"/>
      <c r="J479" s="199"/>
      <c r="K479" s="199"/>
      <c r="L479" s="199"/>
      <c r="M479" s="215"/>
      <c r="N479" s="6"/>
      <c r="O479" s="6"/>
    </row>
    <row r="480" spans="1:15" ht="24.95" customHeight="1">
      <c r="A480" s="85">
        <v>239</v>
      </c>
      <c r="B480" s="67" t="s">
        <v>53</v>
      </c>
      <c r="C480" s="60" t="s">
        <v>369</v>
      </c>
      <c r="D480" s="61" t="s">
        <v>370</v>
      </c>
      <c r="E480" s="182" t="s">
        <v>361</v>
      </c>
      <c r="F480" s="232" t="s">
        <v>353</v>
      </c>
      <c r="G480" s="233"/>
      <c r="H480" s="233"/>
      <c r="I480" s="234"/>
      <c r="J480" s="199"/>
      <c r="K480" s="199"/>
      <c r="L480" s="199"/>
      <c r="M480" s="215"/>
      <c r="N480" s="6"/>
      <c r="O480" s="6"/>
    </row>
    <row r="481" spans="1:15" ht="22.5" customHeight="1">
      <c r="A481" s="200">
        <v>239</v>
      </c>
      <c r="B481" s="207" t="s">
        <v>53</v>
      </c>
      <c r="C481" s="202" t="s">
        <v>412</v>
      </c>
      <c r="D481" s="203" t="s">
        <v>413</v>
      </c>
      <c r="E481" s="203" t="s">
        <v>418</v>
      </c>
      <c r="F481" s="235" t="s">
        <v>353</v>
      </c>
      <c r="G481" s="236"/>
      <c r="H481" s="236"/>
      <c r="I481" s="237"/>
      <c r="J481" s="199"/>
      <c r="K481" s="199"/>
      <c r="L481" s="199"/>
      <c r="M481" s="215"/>
      <c r="N481" s="6"/>
      <c r="O481" s="6"/>
    </row>
    <row r="482" spans="1:15" ht="22.5" customHeight="1">
      <c r="A482" s="85">
        <v>239</v>
      </c>
      <c r="B482" s="67" t="s">
        <v>53</v>
      </c>
      <c r="C482" s="60" t="s">
        <v>415</v>
      </c>
      <c r="D482" s="61" t="s">
        <v>414</v>
      </c>
      <c r="E482" s="61" t="s">
        <v>419</v>
      </c>
      <c r="F482" s="232" t="s">
        <v>353</v>
      </c>
      <c r="G482" s="233"/>
      <c r="H482" s="233"/>
      <c r="I482" s="234"/>
      <c r="J482" s="199"/>
      <c r="K482" s="199"/>
      <c r="L482" s="199"/>
      <c r="M482" s="215"/>
      <c r="N482" s="6"/>
      <c r="O482" s="6"/>
    </row>
    <row r="483" spans="1:15" ht="22.5" customHeight="1">
      <c r="A483" s="200">
        <v>239</v>
      </c>
      <c r="B483" s="207" t="s">
        <v>53</v>
      </c>
      <c r="C483" s="202" t="s">
        <v>416</v>
      </c>
      <c r="D483" s="203" t="s">
        <v>417</v>
      </c>
      <c r="E483" s="203" t="s">
        <v>420</v>
      </c>
      <c r="F483" s="235" t="s">
        <v>353</v>
      </c>
      <c r="G483" s="236"/>
      <c r="H483" s="236"/>
      <c r="I483" s="237"/>
      <c r="J483" s="199"/>
      <c r="K483" s="199"/>
      <c r="L483" s="199"/>
      <c r="M483" s="215"/>
      <c r="N483" s="6"/>
      <c r="O483" s="6"/>
    </row>
    <row r="484" spans="1:15" ht="22.5" customHeight="1">
      <c r="A484" s="85">
        <v>240</v>
      </c>
      <c r="B484" s="67" t="s">
        <v>53</v>
      </c>
      <c r="C484" s="60" t="s">
        <v>421</v>
      </c>
      <c r="D484" s="61" t="s">
        <v>422</v>
      </c>
      <c r="E484" s="61" t="s">
        <v>420</v>
      </c>
      <c r="F484" s="232" t="s">
        <v>353</v>
      </c>
      <c r="G484" s="233"/>
      <c r="H484" s="233"/>
      <c r="I484" s="234"/>
      <c r="J484" s="199"/>
      <c r="K484" s="199"/>
      <c r="L484" s="199"/>
      <c r="M484" s="215"/>
      <c r="N484" s="6"/>
      <c r="O484" s="6"/>
    </row>
    <row r="485" spans="1:15" ht="22.5" customHeight="1">
      <c r="A485" s="200">
        <v>240</v>
      </c>
      <c r="B485" s="207" t="s">
        <v>53</v>
      </c>
      <c r="C485" s="202" t="s">
        <v>423</v>
      </c>
      <c r="D485" s="203" t="s">
        <v>424</v>
      </c>
      <c r="E485" s="203" t="s">
        <v>433</v>
      </c>
      <c r="F485" s="235" t="s">
        <v>353</v>
      </c>
      <c r="G485" s="236"/>
      <c r="H485" s="236"/>
      <c r="I485" s="237"/>
      <c r="J485" s="199"/>
      <c r="K485" s="199"/>
      <c r="L485" s="199"/>
      <c r="M485" s="215"/>
      <c r="N485" s="6"/>
      <c r="O485" s="6"/>
    </row>
    <row r="486" spans="1:15" ht="22.5" customHeight="1">
      <c r="A486" s="85">
        <v>240</v>
      </c>
      <c r="B486" s="67" t="s">
        <v>53</v>
      </c>
      <c r="C486" s="60" t="s">
        <v>425</v>
      </c>
      <c r="D486" s="61" t="s">
        <v>426</v>
      </c>
      <c r="E486" s="61" t="s">
        <v>434</v>
      </c>
      <c r="F486" s="232" t="s">
        <v>353</v>
      </c>
      <c r="G486" s="233"/>
      <c r="H486" s="233"/>
      <c r="I486" s="234"/>
      <c r="J486" s="199"/>
      <c r="K486" s="199"/>
      <c r="L486" s="199"/>
      <c r="M486" s="215"/>
      <c r="N486" s="6"/>
      <c r="O486" s="6"/>
    </row>
    <row r="487" spans="1:15" ht="22.5" customHeight="1">
      <c r="A487" s="200">
        <v>240</v>
      </c>
      <c r="B487" s="207" t="s">
        <v>53</v>
      </c>
      <c r="C487" s="202" t="s">
        <v>427</v>
      </c>
      <c r="D487" s="203" t="s">
        <v>428</v>
      </c>
      <c r="E487" s="203" t="s">
        <v>433</v>
      </c>
      <c r="F487" s="235" t="s">
        <v>353</v>
      </c>
      <c r="G487" s="236"/>
      <c r="H487" s="236"/>
      <c r="I487" s="237"/>
      <c r="J487" s="199"/>
      <c r="K487" s="199"/>
      <c r="L487" s="199"/>
      <c r="M487" s="215"/>
      <c r="N487" s="6"/>
      <c r="O487" s="6"/>
    </row>
    <row r="488" spans="1:15" ht="22.5" customHeight="1">
      <c r="A488" s="85">
        <v>240</v>
      </c>
      <c r="B488" s="67" t="s">
        <v>53</v>
      </c>
      <c r="C488" s="60" t="s">
        <v>429</v>
      </c>
      <c r="D488" s="61" t="s">
        <v>430</v>
      </c>
      <c r="E488" s="61" t="s">
        <v>435</v>
      </c>
      <c r="F488" s="232" t="s">
        <v>353</v>
      </c>
      <c r="G488" s="233"/>
      <c r="H488" s="233"/>
      <c r="I488" s="234"/>
      <c r="J488" s="199"/>
      <c r="K488" s="199"/>
      <c r="L488" s="199"/>
      <c r="M488" s="215"/>
      <c r="N488" s="6"/>
      <c r="O488" s="6"/>
    </row>
    <row r="489" spans="1:15" ht="22.5" customHeight="1">
      <c r="A489" s="200">
        <v>240</v>
      </c>
      <c r="B489" s="207" t="s">
        <v>53</v>
      </c>
      <c r="C489" s="202" t="s">
        <v>431</v>
      </c>
      <c r="D489" s="203" t="s">
        <v>432</v>
      </c>
      <c r="E489" s="203" t="s">
        <v>434</v>
      </c>
      <c r="F489" s="235" t="s">
        <v>353</v>
      </c>
      <c r="G489" s="236"/>
      <c r="H489" s="236"/>
      <c r="I489" s="237"/>
      <c r="J489" s="199"/>
      <c r="K489" s="199"/>
      <c r="L489" s="199"/>
      <c r="M489" s="215"/>
      <c r="N489" s="6"/>
      <c r="O489" s="6"/>
    </row>
    <row r="490" spans="1:15" ht="22.5" customHeight="1">
      <c r="A490" s="85">
        <v>241</v>
      </c>
      <c r="B490" s="67" t="s">
        <v>53</v>
      </c>
      <c r="C490" s="60" t="s">
        <v>436</v>
      </c>
      <c r="D490" s="61" t="s">
        <v>437</v>
      </c>
      <c r="E490" s="61" t="s">
        <v>446</v>
      </c>
      <c r="F490" s="232" t="s">
        <v>353</v>
      </c>
      <c r="G490" s="233"/>
      <c r="H490" s="233"/>
      <c r="I490" s="234"/>
      <c r="J490" s="199"/>
      <c r="K490" s="199"/>
      <c r="L490" s="199"/>
      <c r="M490" s="215"/>
      <c r="N490" s="6"/>
      <c r="O490" s="6"/>
    </row>
    <row r="491" spans="1:15" ht="22.5" customHeight="1">
      <c r="A491" s="200">
        <v>241</v>
      </c>
      <c r="B491" s="207" t="s">
        <v>53</v>
      </c>
      <c r="C491" s="202" t="s">
        <v>438</v>
      </c>
      <c r="D491" s="203" t="s">
        <v>439</v>
      </c>
      <c r="E491" s="203" t="s">
        <v>447</v>
      </c>
      <c r="F491" s="235" t="s">
        <v>353</v>
      </c>
      <c r="G491" s="236"/>
      <c r="H491" s="236"/>
      <c r="I491" s="237"/>
      <c r="J491" s="199"/>
      <c r="K491" s="199"/>
      <c r="L491" s="199"/>
      <c r="M491" s="215"/>
      <c r="N491" s="6"/>
      <c r="O491" s="6"/>
    </row>
    <row r="492" spans="1:15" ht="22.5" customHeight="1">
      <c r="A492" s="85">
        <v>241</v>
      </c>
      <c r="B492" s="67" t="s">
        <v>53</v>
      </c>
      <c r="C492" s="60" t="s">
        <v>440</v>
      </c>
      <c r="D492" s="61" t="s">
        <v>441</v>
      </c>
      <c r="E492" s="61" t="s">
        <v>447</v>
      </c>
      <c r="F492" s="232" t="s">
        <v>353</v>
      </c>
      <c r="G492" s="233"/>
      <c r="H492" s="233"/>
      <c r="I492" s="234"/>
      <c r="J492" s="199"/>
      <c r="K492" s="199"/>
      <c r="L492" s="199"/>
      <c r="M492" s="215"/>
      <c r="N492" s="6"/>
      <c r="O492" s="6"/>
    </row>
    <row r="493" spans="1:15" ht="22.5" customHeight="1">
      <c r="A493" s="200">
        <v>241</v>
      </c>
      <c r="B493" s="207" t="s">
        <v>53</v>
      </c>
      <c r="C493" s="202" t="s">
        <v>442</v>
      </c>
      <c r="D493" s="203" t="s">
        <v>443</v>
      </c>
      <c r="E493" s="203" t="s">
        <v>447</v>
      </c>
      <c r="F493" s="235" t="s">
        <v>353</v>
      </c>
      <c r="G493" s="236"/>
      <c r="H493" s="236"/>
      <c r="I493" s="237"/>
      <c r="J493" s="199"/>
      <c r="K493" s="199"/>
      <c r="L493" s="199"/>
      <c r="M493" s="215"/>
      <c r="N493" s="6"/>
      <c r="O493" s="6"/>
    </row>
    <row r="494" spans="1:15" ht="22.5" customHeight="1">
      <c r="A494" s="85">
        <v>241</v>
      </c>
      <c r="B494" s="67" t="s">
        <v>53</v>
      </c>
      <c r="C494" s="60" t="s">
        <v>444</v>
      </c>
      <c r="D494" s="61" t="s">
        <v>445</v>
      </c>
      <c r="E494" s="61" t="s">
        <v>448</v>
      </c>
      <c r="F494" s="232" t="s">
        <v>353</v>
      </c>
      <c r="G494" s="233"/>
      <c r="H494" s="233"/>
      <c r="I494" s="234"/>
      <c r="J494" s="199"/>
      <c r="K494" s="199"/>
      <c r="L494" s="199"/>
      <c r="M494" s="215"/>
      <c r="N494" s="6"/>
      <c r="O494" s="6"/>
    </row>
    <row r="495" spans="1:15" ht="22.5" customHeight="1">
      <c r="A495" s="200">
        <v>243</v>
      </c>
      <c r="B495" s="207" t="s">
        <v>53</v>
      </c>
      <c r="C495" s="202" t="s">
        <v>449</v>
      </c>
      <c r="D495" s="203" t="s">
        <v>450</v>
      </c>
      <c r="E495" s="203" t="s">
        <v>451</v>
      </c>
      <c r="F495" s="235" t="s">
        <v>353</v>
      </c>
      <c r="G495" s="236"/>
      <c r="H495" s="236"/>
      <c r="I495" s="237"/>
      <c r="J495" s="199"/>
      <c r="K495" s="199"/>
      <c r="L495" s="199"/>
      <c r="M495" s="215"/>
      <c r="N495" s="6"/>
      <c r="O495" s="6"/>
    </row>
    <row r="496" spans="1:15" ht="22.5" customHeight="1">
      <c r="A496" s="85">
        <v>243</v>
      </c>
      <c r="B496" s="67" t="s">
        <v>53</v>
      </c>
      <c r="C496" s="60" t="s">
        <v>452</v>
      </c>
      <c r="D496" s="61" t="s">
        <v>453</v>
      </c>
      <c r="E496" s="61" t="s">
        <v>451</v>
      </c>
      <c r="F496" s="232" t="s">
        <v>353</v>
      </c>
      <c r="G496" s="233"/>
      <c r="H496" s="233"/>
      <c r="I496" s="234"/>
      <c r="J496" s="199"/>
      <c r="K496" s="199"/>
      <c r="L496" s="199"/>
      <c r="M496" s="215"/>
      <c r="N496" s="6"/>
      <c r="O496" s="6"/>
    </row>
    <row r="497" spans="1:15" ht="22.5" customHeight="1">
      <c r="A497" s="200">
        <v>243</v>
      </c>
      <c r="B497" s="207" t="s">
        <v>53</v>
      </c>
      <c r="C497" s="202" t="s">
        <v>454</v>
      </c>
      <c r="D497" s="203" t="s">
        <v>455</v>
      </c>
      <c r="E497" s="203" t="s">
        <v>451</v>
      </c>
      <c r="F497" s="235" t="s">
        <v>353</v>
      </c>
      <c r="G497" s="236"/>
      <c r="H497" s="236"/>
      <c r="I497" s="237"/>
      <c r="J497" s="199"/>
      <c r="K497" s="199"/>
      <c r="L497" s="199"/>
      <c r="M497" s="215"/>
      <c r="N497" s="6"/>
      <c r="O497" s="6"/>
    </row>
    <row r="498" spans="1:15" ht="22.5" customHeight="1">
      <c r="A498" s="85">
        <v>243</v>
      </c>
      <c r="B498" s="67" t="s">
        <v>53</v>
      </c>
      <c r="C498" s="60" t="s">
        <v>456</v>
      </c>
      <c r="D498" s="61" t="s">
        <v>457</v>
      </c>
      <c r="E498" s="61" t="s">
        <v>451</v>
      </c>
      <c r="F498" s="232" t="s">
        <v>353</v>
      </c>
      <c r="G498" s="233"/>
      <c r="H498" s="233"/>
      <c r="I498" s="234"/>
      <c r="J498" s="199"/>
      <c r="K498" s="199"/>
      <c r="L498" s="199"/>
      <c r="M498" s="215"/>
      <c r="N498" s="6"/>
      <c r="O498" s="6"/>
    </row>
    <row r="499" spans="1:15" ht="229.5" customHeight="1">
      <c r="A499" s="294" t="s">
        <v>121</v>
      </c>
      <c r="B499" s="295"/>
      <c r="C499" s="295"/>
      <c r="D499" s="295"/>
      <c r="E499" s="295"/>
      <c r="F499" s="295"/>
      <c r="G499" s="295"/>
      <c r="H499" s="295"/>
      <c r="I499" s="295"/>
      <c r="J499" s="295"/>
      <c r="K499" s="295"/>
      <c r="L499" s="295"/>
      <c r="M499" s="215"/>
    </row>
    <row r="500" spans="1:15">
      <c r="A500" s="8"/>
      <c r="B500" s="27"/>
      <c r="C500" s="20"/>
      <c r="D500" s="8"/>
      <c r="E500" s="8"/>
      <c r="F500" s="8"/>
      <c r="G500" s="8"/>
      <c r="H500" s="8"/>
      <c r="I500" s="7"/>
      <c r="J500" s="15"/>
      <c r="K500" s="15"/>
      <c r="L500" s="15"/>
    </row>
    <row r="501" spans="1:15">
      <c r="A501" s="2"/>
    </row>
    <row r="517" spans="5:12" ht="15.75">
      <c r="E517" s="40"/>
      <c r="F517" s="40"/>
      <c r="G517" s="40"/>
      <c r="H517" s="40"/>
      <c r="I517" s="40"/>
      <c r="J517" s="40"/>
      <c r="K517" s="40"/>
      <c r="L517" s="40"/>
    </row>
    <row r="521" spans="5:12" ht="14.1" customHeight="1"/>
    <row r="522" spans="5:12" ht="14.1" customHeight="1"/>
    <row r="551" spans="1:12">
      <c r="A551"/>
      <c r="B551" s="29"/>
      <c r="C551"/>
      <c r="D551" s="39"/>
      <c r="E551" s="39"/>
      <c r="F551" s="30"/>
      <c r="G551" s="39"/>
      <c r="H551"/>
      <c r="I551" s="4"/>
      <c r="J551" s="34"/>
      <c r="K551" s="35"/>
      <c r="L551" s="35"/>
    </row>
    <row r="552" spans="1:12">
      <c r="A552"/>
      <c r="B552" s="29"/>
      <c r="C552"/>
      <c r="D552" s="39"/>
      <c r="E552" s="39"/>
      <c r="F552" s="30"/>
      <c r="G552" s="39"/>
      <c r="H552"/>
      <c r="I552" s="4"/>
      <c r="J552" s="34"/>
      <c r="K552" s="35"/>
      <c r="L552" s="35"/>
    </row>
    <row r="740" ht="17.100000000000001" customHeight="1"/>
    <row r="745" ht="17.100000000000001" customHeight="1"/>
    <row r="770" spans="1:12">
      <c r="A770"/>
      <c r="B770" s="29"/>
      <c r="C770"/>
      <c r="D770" s="39"/>
      <c r="E770" s="39"/>
      <c r="F770" s="30"/>
      <c r="G770" s="39"/>
      <c r="H770"/>
      <c r="I770" s="4"/>
      <c r="J770" s="34"/>
      <c r="K770" s="35"/>
      <c r="L770" s="35"/>
    </row>
    <row r="775" spans="1:12">
      <c r="A775"/>
      <c r="B775" s="29"/>
      <c r="C775"/>
      <c r="D775" s="39"/>
      <c r="E775" s="39"/>
      <c r="F775" s="30"/>
      <c r="G775" s="39"/>
      <c r="H775"/>
      <c r="I775" s="4"/>
      <c r="J775" s="34"/>
      <c r="K775" s="35"/>
      <c r="L775" s="35"/>
    </row>
  </sheetData>
  <mergeCells count="675">
    <mergeCell ref="D181:D182"/>
    <mergeCell ref="C181:C182"/>
    <mergeCell ref="B181:B182"/>
    <mergeCell ref="A181:A182"/>
    <mergeCell ref="H181:H182"/>
    <mergeCell ref="I181:I182"/>
    <mergeCell ref="D421:D422"/>
    <mergeCell ref="H421:H422"/>
    <mergeCell ref="I421:I422"/>
    <mergeCell ref="A409:A410"/>
    <mergeCell ref="B409:B410"/>
    <mergeCell ref="C409:C410"/>
    <mergeCell ref="D409:D410"/>
    <mergeCell ref="H409:H410"/>
    <mergeCell ref="I409:I410"/>
    <mergeCell ref="A412:A415"/>
    <mergeCell ref="B412:B415"/>
    <mergeCell ref="C412:C415"/>
    <mergeCell ref="D412:D415"/>
    <mergeCell ref="H412:H415"/>
    <mergeCell ref="I412:I415"/>
    <mergeCell ref="A417:A418"/>
    <mergeCell ref="B417:B418"/>
    <mergeCell ref="D417:D418"/>
    <mergeCell ref="A446:L446"/>
    <mergeCell ref="A429:A430"/>
    <mergeCell ref="B429:B430"/>
    <mergeCell ref="C429:C430"/>
    <mergeCell ref="D429:D430"/>
    <mergeCell ref="H429:H430"/>
    <mergeCell ref="I429:I430"/>
    <mergeCell ref="A431:A432"/>
    <mergeCell ref="B431:B432"/>
    <mergeCell ref="C431:C432"/>
    <mergeCell ref="D431:D432"/>
    <mergeCell ref="H431:H432"/>
    <mergeCell ref="I431:I432"/>
    <mergeCell ref="A440:A441"/>
    <mergeCell ref="B440:B441"/>
    <mergeCell ref="C440:C441"/>
    <mergeCell ref="D440:D441"/>
    <mergeCell ref="H440:H441"/>
    <mergeCell ref="I440:I441"/>
    <mergeCell ref="A435:A436"/>
    <mergeCell ref="B435:B436"/>
    <mergeCell ref="C435:C436"/>
    <mergeCell ref="D435:D436"/>
    <mergeCell ref="H435:H436"/>
    <mergeCell ref="A423:A425"/>
    <mergeCell ref="A437:A438"/>
    <mergeCell ref="B423:B425"/>
    <mergeCell ref="C423:C425"/>
    <mergeCell ref="D423:D425"/>
    <mergeCell ref="H423:H425"/>
    <mergeCell ref="I423:I425"/>
    <mergeCell ref="A426:A428"/>
    <mergeCell ref="B426:B428"/>
    <mergeCell ref="C426:C428"/>
    <mergeCell ref="D426:D428"/>
    <mergeCell ref="H426:H428"/>
    <mergeCell ref="I426:I428"/>
    <mergeCell ref="D437:D438"/>
    <mergeCell ref="I437:I438"/>
    <mergeCell ref="H437:H438"/>
    <mergeCell ref="C437:C438"/>
    <mergeCell ref="B437:B438"/>
    <mergeCell ref="I435:I436"/>
    <mergeCell ref="I417:I418"/>
    <mergeCell ref="A421:A422"/>
    <mergeCell ref="B421:B422"/>
    <mergeCell ref="C421:C422"/>
    <mergeCell ref="A401:A402"/>
    <mergeCell ref="B401:B402"/>
    <mergeCell ref="C401:C402"/>
    <mergeCell ref="D401:D402"/>
    <mergeCell ref="H401:H402"/>
    <mergeCell ref="I401:I402"/>
    <mergeCell ref="A407:A408"/>
    <mergeCell ref="B407:B408"/>
    <mergeCell ref="C407:C408"/>
    <mergeCell ref="D407:D408"/>
    <mergeCell ref="H407:H408"/>
    <mergeCell ref="I407:I408"/>
    <mergeCell ref="A403:A406"/>
    <mergeCell ref="B403:B406"/>
    <mergeCell ref="C403:C406"/>
    <mergeCell ref="D403:D406"/>
    <mergeCell ref="H403:H406"/>
    <mergeCell ref="I403:I406"/>
    <mergeCell ref="A395:A396"/>
    <mergeCell ref="B395:B396"/>
    <mergeCell ref="C395:C396"/>
    <mergeCell ref="D395:D396"/>
    <mergeCell ref="H395:H396"/>
    <mergeCell ref="I395:I396"/>
    <mergeCell ref="A397:A398"/>
    <mergeCell ref="B397:B398"/>
    <mergeCell ref="C397:C398"/>
    <mergeCell ref="D397:D398"/>
    <mergeCell ref="H397:H398"/>
    <mergeCell ref="I397:I398"/>
    <mergeCell ref="A388:A390"/>
    <mergeCell ref="B388:B390"/>
    <mergeCell ref="C388:C390"/>
    <mergeCell ref="D388:D390"/>
    <mergeCell ref="H388:H390"/>
    <mergeCell ref="I388:I390"/>
    <mergeCell ref="A393:A394"/>
    <mergeCell ref="B393:B394"/>
    <mergeCell ref="C393:C394"/>
    <mergeCell ref="D393:D394"/>
    <mergeCell ref="H393:H394"/>
    <mergeCell ref="I393:I394"/>
    <mergeCell ref="A382:A383"/>
    <mergeCell ref="B382:B383"/>
    <mergeCell ref="C382:C383"/>
    <mergeCell ref="D382:D383"/>
    <mergeCell ref="H382:H383"/>
    <mergeCell ref="I382:I383"/>
    <mergeCell ref="A386:A387"/>
    <mergeCell ref="B386:B387"/>
    <mergeCell ref="C386:C387"/>
    <mergeCell ref="D386:D387"/>
    <mergeCell ref="H386:H387"/>
    <mergeCell ref="I386:I387"/>
    <mergeCell ref="A384:A385"/>
    <mergeCell ref="B384:B385"/>
    <mergeCell ref="C384:C385"/>
    <mergeCell ref="D384:D385"/>
    <mergeCell ref="H384:H385"/>
    <mergeCell ref="I384:I385"/>
    <mergeCell ref="A376:A377"/>
    <mergeCell ref="B376:B377"/>
    <mergeCell ref="C376:C377"/>
    <mergeCell ref="D376:D377"/>
    <mergeCell ref="H376:H377"/>
    <mergeCell ref="I376:I377"/>
    <mergeCell ref="A378:A380"/>
    <mergeCell ref="B378:B380"/>
    <mergeCell ref="C378:C380"/>
    <mergeCell ref="D378:D380"/>
    <mergeCell ref="H378:H380"/>
    <mergeCell ref="I378:I380"/>
    <mergeCell ref="H363:H366"/>
    <mergeCell ref="I363:I366"/>
    <mergeCell ref="A367:A369"/>
    <mergeCell ref="B367:B369"/>
    <mergeCell ref="C367:C369"/>
    <mergeCell ref="D367:D369"/>
    <mergeCell ref="H367:H369"/>
    <mergeCell ref="I367:I369"/>
    <mergeCell ref="A374:A375"/>
    <mergeCell ref="B374:B375"/>
    <mergeCell ref="C374:C375"/>
    <mergeCell ref="D374:D375"/>
    <mergeCell ref="H374:H375"/>
    <mergeCell ref="I374:I375"/>
    <mergeCell ref="A372:A373"/>
    <mergeCell ref="B372:B373"/>
    <mergeCell ref="C372:C373"/>
    <mergeCell ref="D372:D373"/>
    <mergeCell ref="H372:H373"/>
    <mergeCell ref="I372:I373"/>
    <mergeCell ref="A370:A371"/>
    <mergeCell ref="B370:B371"/>
    <mergeCell ref="C370:C371"/>
    <mergeCell ref="D370:D371"/>
    <mergeCell ref="H370:H371"/>
    <mergeCell ref="I370:I371"/>
    <mergeCell ref="A304:A307"/>
    <mergeCell ref="B304:B307"/>
    <mergeCell ref="C304:C307"/>
    <mergeCell ref="D304:D307"/>
    <mergeCell ref="H304:H307"/>
    <mergeCell ref="I304:I307"/>
    <mergeCell ref="H357:H361"/>
    <mergeCell ref="I357:I361"/>
    <mergeCell ref="A308:A311"/>
    <mergeCell ref="B308:B311"/>
    <mergeCell ref="C308:C311"/>
    <mergeCell ref="D308:D311"/>
    <mergeCell ref="H308:H311"/>
    <mergeCell ref="I308:I311"/>
    <mergeCell ref="A363:A366"/>
    <mergeCell ref="B363:B366"/>
    <mergeCell ref="C363:C366"/>
    <mergeCell ref="D363:D366"/>
    <mergeCell ref="A312:A317"/>
    <mergeCell ref="B312:B317"/>
    <mergeCell ref="C312:C317"/>
    <mergeCell ref="D312:D317"/>
    <mergeCell ref="A344:A347"/>
    <mergeCell ref="B344:B347"/>
    <mergeCell ref="C344:C347"/>
    <mergeCell ref="D344:D347"/>
    <mergeCell ref="H344:H347"/>
    <mergeCell ref="I344:I347"/>
    <mergeCell ref="A335:A336"/>
    <mergeCell ref="B335:B336"/>
    <mergeCell ref="C335:C336"/>
    <mergeCell ref="D335:D336"/>
    <mergeCell ref="A353:A354"/>
    <mergeCell ref="B353:B354"/>
    <mergeCell ref="C353:C354"/>
    <mergeCell ref="D353:D354"/>
    <mergeCell ref="H353:H354"/>
    <mergeCell ref="I353:I354"/>
    <mergeCell ref="A348:A352"/>
    <mergeCell ref="B348:B352"/>
    <mergeCell ref="C348:C352"/>
    <mergeCell ref="D348:D352"/>
    <mergeCell ref="H348:H352"/>
    <mergeCell ref="I348:I352"/>
    <mergeCell ref="A280:A283"/>
    <mergeCell ref="B280:B283"/>
    <mergeCell ref="C280:C283"/>
    <mergeCell ref="D280:D283"/>
    <mergeCell ref="H280:H283"/>
    <mergeCell ref="I280:I283"/>
    <mergeCell ref="A284:A287"/>
    <mergeCell ref="B284:B287"/>
    <mergeCell ref="C284:C287"/>
    <mergeCell ref="D284:D287"/>
    <mergeCell ref="H284:H287"/>
    <mergeCell ref="I284:I287"/>
    <mergeCell ref="H288:H295"/>
    <mergeCell ref="I288:I295"/>
    <mergeCell ref="C332:C333"/>
    <mergeCell ref="D332:D333"/>
    <mergeCell ref="H332:H333"/>
    <mergeCell ref="I332:I333"/>
    <mergeCell ref="H335:H336"/>
    <mergeCell ref="I335:I336"/>
    <mergeCell ref="A338:A343"/>
    <mergeCell ref="B338:B343"/>
    <mergeCell ref="C338:C343"/>
    <mergeCell ref="D338:D343"/>
    <mergeCell ref="H338:H342"/>
    <mergeCell ref="I338:I342"/>
    <mergeCell ref="C300:C303"/>
    <mergeCell ref="D300:D303"/>
    <mergeCell ref="H300:H303"/>
    <mergeCell ref="I300:I303"/>
    <mergeCell ref="H312:H317"/>
    <mergeCell ref="I312:I317"/>
    <mergeCell ref="A276:A278"/>
    <mergeCell ref="B276:B278"/>
    <mergeCell ref="C276:C278"/>
    <mergeCell ref="D276:D278"/>
    <mergeCell ref="H276:H278"/>
    <mergeCell ref="I276:I278"/>
    <mergeCell ref="A327:A328"/>
    <mergeCell ref="B327:B328"/>
    <mergeCell ref="C327:C328"/>
    <mergeCell ref="D327:D328"/>
    <mergeCell ref="H327:H328"/>
    <mergeCell ref="I327:I328"/>
    <mergeCell ref="A296:A299"/>
    <mergeCell ref="B296:B299"/>
    <mergeCell ref="C296:C299"/>
    <mergeCell ref="D296:D299"/>
    <mergeCell ref="H296:H299"/>
    <mergeCell ref="I296:I299"/>
    <mergeCell ref="A300:A303"/>
    <mergeCell ref="B300:B303"/>
    <mergeCell ref="A288:A295"/>
    <mergeCell ref="B288:B295"/>
    <mergeCell ref="C288:C295"/>
    <mergeCell ref="D288:D295"/>
    <mergeCell ref="C270:C271"/>
    <mergeCell ref="D270:D271"/>
    <mergeCell ref="H270:H271"/>
    <mergeCell ref="I270:I271"/>
    <mergeCell ref="A355:A356"/>
    <mergeCell ref="B355:B356"/>
    <mergeCell ref="C355:C356"/>
    <mergeCell ref="D355:D356"/>
    <mergeCell ref="H355:H356"/>
    <mergeCell ref="I355:I356"/>
    <mergeCell ref="A318:A325"/>
    <mergeCell ref="B318:B325"/>
    <mergeCell ref="H318:H325"/>
    <mergeCell ref="I318:I325"/>
    <mergeCell ref="C318:C325"/>
    <mergeCell ref="D318:D325"/>
    <mergeCell ref="A330:A331"/>
    <mergeCell ref="B330:B331"/>
    <mergeCell ref="C330:C331"/>
    <mergeCell ref="D330:D331"/>
    <mergeCell ref="H330:H331"/>
    <mergeCell ref="I330:I331"/>
    <mergeCell ref="A332:A333"/>
    <mergeCell ref="B332:B333"/>
    <mergeCell ref="C257:C258"/>
    <mergeCell ref="D257:D258"/>
    <mergeCell ref="H257:H258"/>
    <mergeCell ref="I257:I258"/>
    <mergeCell ref="A273:A274"/>
    <mergeCell ref="B273:B274"/>
    <mergeCell ref="C273:C274"/>
    <mergeCell ref="D273:D274"/>
    <mergeCell ref="H273:H274"/>
    <mergeCell ref="I273:I274"/>
    <mergeCell ref="A260:A263"/>
    <mergeCell ref="B260:B263"/>
    <mergeCell ref="C260:C263"/>
    <mergeCell ref="D260:D263"/>
    <mergeCell ref="H260:H263"/>
    <mergeCell ref="I260:I263"/>
    <mergeCell ref="A264:A267"/>
    <mergeCell ref="B264:B267"/>
    <mergeCell ref="C264:C267"/>
    <mergeCell ref="D264:D267"/>
    <mergeCell ref="H264:H267"/>
    <mergeCell ref="I264:I267"/>
    <mergeCell ref="A270:A271"/>
    <mergeCell ref="B270:B271"/>
    <mergeCell ref="A235:A238"/>
    <mergeCell ref="B235:B238"/>
    <mergeCell ref="C235:C238"/>
    <mergeCell ref="D235:D238"/>
    <mergeCell ref="H235:H238"/>
    <mergeCell ref="I235:I238"/>
    <mergeCell ref="A247:A250"/>
    <mergeCell ref="B247:B250"/>
    <mergeCell ref="C247:C250"/>
    <mergeCell ref="D247:D250"/>
    <mergeCell ref="H247:H250"/>
    <mergeCell ref="I247:I250"/>
    <mergeCell ref="A223:A226"/>
    <mergeCell ref="B223:B226"/>
    <mergeCell ref="C223:C226"/>
    <mergeCell ref="D223:D226"/>
    <mergeCell ref="H223:H226"/>
    <mergeCell ref="I223:I226"/>
    <mergeCell ref="A227:A234"/>
    <mergeCell ref="B227:B234"/>
    <mergeCell ref="C227:C234"/>
    <mergeCell ref="D227:D234"/>
    <mergeCell ref="H227:H234"/>
    <mergeCell ref="I227:I234"/>
    <mergeCell ref="A72:A73"/>
    <mergeCell ref="B72:B73"/>
    <mergeCell ref="C72:C73"/>
    <mergeCell ref="D72:D73"/>
    <mergeCell ref="H72:H73"/>
    <mergeCell ref="I72:I73"/>
    <mergeCell ref="A215:A222"/>
    <mergeCell ref="B215:B222"/>
    <mergeCell ref="C215:C222"/>
    <mergeCell ref="D215:D222"/>
    <mergeCell ref="H215:H222"/>
    <mergeCell ref="I215:I222"/>
    <mergeCell ref="A109:A111"/>
    <mergeCell ref="B109:B111"/>
    <mergeCell ref="C109:C111"/>
    <mergeCell ref="D109:D111"/>
    <mergeCell ref="H109:H110"/>
    <mergeCell ref="I109:I110"/>
    <mergeCell ref="A107:A108"/>
    <mergeCell ref="B107:B108"/>
    <mergeCell ref="C107:C108"/>
    <mergeCell ref="D107:D108"/>
    <mergeCell ref="H107:H108"/>
    <mergeCell ref="I107:I108"/>
    <mergeCell ref="A63:A65"/>
    <mergeCell ref="B63:B65"/>
    <mergeCell ref="C63:C65"/>
    <mergeCell ref="D63:D65"/>
    <mergeCell ref="H63:H65"/>
    <mergeCell ref="I63:I65"/>
    <mergeCell ref="A69:A71"/>
    <mergeCell ref="B69:B71"/>
    <mergeCell ref="C69:C71"/>
    <mergeCell ref="D69:D71"/>
    <mergeCell ref="H69:H71"/>
    <mergeCell ref="I69:I71"/>
    <mergeCell ref="A66:A68"/>
    <mergeCell ref="B66:B68"/>
    <mergeCell ref="C66:C68"/>
    <mergeCell ref="D66:D68"/>
    <mergeCell ref="H66:H68"/>
    <mergeCell ref="I66:I68"/>
    <mergeCell ref="H54:H56"/>
    <mergeCell ref="I54:I56"/>
    <mergeCell ref="A57:A59"/>
    <mergeCell ref="B57:B59"/>
    <mergeCell ref="C57:C59"/>
    <mergeCell ref="D57:D59"/>
    <mergeCell ref="H57:H59"/>
    <mergeCell ref="I57:I59"/>
    <mergeCell ref="A60:A62"/>
    <mergeCell ref="B60:B62"/>
    <mergeCell ref="C60:C62"/>
    <mergeCell ref="D60:D62"/>
    <mergeCell ref="H60:H62"/>
    <mergeCell ref="I60:I62"/>
    <mergeCell ref="A54:A56"/>
    <mergeCell ref="B54:B56"/>
    <mergeCell ref="C54:C56"/>
    <mergeCell ref="D54:D56"/>
    <mergeCell ref="I45:I47"/>
    <mergeCell ref="A48:A50"/>
    <mergeCell ref="B48:B50"/>
    <mergeCell ref="C48:C50"/>
    <mergeCell ref="D48:D50"/>
    <mergeCell ref="H48:H50"/>
    <mergeCell ref="I48:I50"/>
    <mergeCell ref="A51:A53"/>
    <mergeCell ref="B51:B53"/>
    <mergeCell ref="C51:C53"/>
    <mergeCell ref="D51:D53"/>
    <mergeCell ref="H51:H53"/>
    <mergeCell ref="I51:I53"/>
    <mergeCell ref="A45:A47"/>
    <mergeCell ref="B45:B47"/>
    <mergeCell ref="C45:C47"/>
    <mergeCell ref="D45:D47"/>
    <mergeCell ref="A33:A35"/>
    <mergeCell ref="B33:B35"/>
    <mergeCell ref="C33:C35"/>
    <mergeCell ref="D33:D35"/>
    <mergeCell ref="H33:H35"/>
    <mergeCell ref="I33:I35"/>
    <mergeCell ref="A36:A38"/>
    <mergeCell ref="B36:B38"/>
    <mergeCell ref="C36:C38"/>
    <mergeCell ref="D36:D38"/>
    <mergeCell ref="H36:H38"/>
    <mergeCell ref="I36:I38"/>
    <mergeCell ref="I39:I41"/>
    <mergeCell ref="A42:A44"/>
    <mergeCell ref="B42:B44"/>
    <mergeCell ref="A499:L499"/>
    <mergeCell ref="A88:A90"/>
    <mergeCell ref="B88:B90"/>
    <mergeCell ref="C88:C90"/>
    <mergeCell ref="D88:D90"/>
    <mergeCell ref="H88:H90"/>
    <mergeCell ref="I88:I90"/>
    <mergeCell ref="A91:A93"/>
    <mergeCell ref="B91:B93"/>
    <mergeCell ref="C91:C93"/>
    <mergeCell ref="D91:D93"/>
    <mergeCell ref="H91:H93"/>
    <mergeCell ref="I91:I93"/>
    <mergeCell ref="A95:A97"/>
    <mergeCell ref="B95:B97"/>
    <mergeCell ref="C95:C97"/>
    <mergeCell ref="C42:C44"/>
    <mergeCell ref="D42:D44"/>
    <mergeCell ref="H42:H44"/>
    <mergeCell ref="I42:I44"/>
    <mergeCell ref="H45:H47"/>
    <mergeCell ref="A1:L1"/>
    <mergeCell ref="C417:C418"/>
    <mergeCell ref="H417:H418"/>
    <mergeCell ref="A399:A400"/>
    <mergeCell ref="B399:B400"/>
    <mergeCell ref="C399:C400"/>
    <mergeCell ref="D399:D400"/>
    <mergeCell ref="H399:H400"/>
    <mergeCell ref="I399:I400"/>
    <mergeCell ref="A6:L6"/>
    <mergeCell ref="A25:L25"/>
    <mergeCell ref="A30:A32"/>
    <mergeCell ref="B30:B32"/>
    <mergeCell ref="C30:C32"/>
    <mergeCell ref="D30:D32"/>
    <mergeCell ref="H30:H32"/>
    <mergeCell ref="I30:I32"/>
    <mergeCell ref="A84:L84"/>
    <mergeCell ref="A85:A87"/>
    <mergeCell ref="B85:B87"/>
    <mergeCell ref="C85:C87"/>
    <mergeCell ref="D85:D87"/>
    <mergeCell ref="H85:H87"/>
    <mergeCell ref="I85:I87"/>
    <mergeCell ref="A112:A113"/>
    <mergeCell ref="B112:B113"/>
    <mergeCell ref="C112:C113"/>
    <mergeCell ref="D112:D113"/>
    <mergeCell ref="H112:H113"/>
    <mergeCell ref="I112:I113"/>
    <mergeCell ref="A114:A115"/>
    <mergeCell ref="B114:B115"/>
    <mergeCell ref="C114:C115"/>
    <mergeCell ref="D114:D115"/>
    <mergeCell ref="H114:H115"/>
    <mergeCell ref="I114:I115"/>
    <mergeCell ref="A116:A117"/>
    <mergeCell ref="B116:B117"/>
    <mergeCell ref="C116:C117"/>
    <mergeCell ref="D116:D117"/>
    <mergeCell ref="H116:H117"/>
    <mergeCell ref="I116:I117"/>
    <mergeCell ref="A135:L135"/>
    <mergeCell ref="A143:L143"/>
    <mergeCell ref="A154:L154"/>
    <mergeCell ref="A155:A160"/>
    <mergeCell ref="B155:B160"/>
    <mergeCell ref="C155:C160"/>
    <mergeCell ref="D155:D160"/>
    <mergeCell ref="H155:H160"/>
    <mergeCell ref="I155:I160"/>
    <mergeCell ref="A161:A166"/>
    <mergeCell ref="B161:B166"/>
    <mergeCell ref="C161:C166"/>
    <mergeCell ref="D161:D166"/>
    <mergeCell ref="H161:H166"/>
    <mergeCell ref="I161:I166"/>
    <mergeCell ref="A172:L172"/>
    <mergeCell ref="A174:A175"/>
    <mergeCell ref="B174:B175"/>
    <mergeCell ref="C174:C175"/>
    <mergeCell ref="D174:D175"/>
    <mergeCell ref="H174:H175"/>
    <mergeCell ref="I174:I175"/>
    <mergeCell ref="A176:A177"/>
    <mergeCell ref="B176:B177"/>
    <mergeCell ref="C176:C177"/>
    <mergeCell ref="D176:D177"/>
    <mergeCell ref="H176:H177"/>
    <mergeCell ref="I176:I177"/>
    <mergeCell ref="A178:A179"/>
    <mergeCell ref="B178:B179"/>
    <mergeCell ref="C178:C179"/>
    <mergeCell ref="D178:D179"/>
    <mergeCell ref="H178:H179"/>
    <mergeCell ref="I178:I179"/>
    <mergeCell ref="A214:L214"/>
    <mergeCell ref="A184:A185"/>
    <mergeCell ref="B184:B185"/>
    <mergeCell ref="C184:C185"/>
    <mergeCell ref="D184:D185"/>
    <mergeCell ref="H184:H185"/>
    <mergeCell ref="I184:I185"/>
    <mergeCell ref="A186:A187"/>
    <mergeCell ref="B186:B187"/>
    <mergeCell ref="C186:C187"/>
    <mergeCell ref="D186:D187"/>
    <mergeCell ref="H186:H187"/>
    <mergeCell ref="I186:I187"/>
    <mergeCell ref="C188:C189"/>
    <mergeCell ref="C190:C191"/>
    <mergeCell ref="D188:D189"/>
    <mergeCell ref="D190:D191"/>
    <mergeCell ref="A190:A191"/>
    <mergeCell ref="A98:L98"/>
    <mergeCell ref="D99:D106"/>
    <mergeCell ref="C99:C106"/>
    <mergeCell ref="B99:B106"/>
    <mergeCell ref="A99:A106"/>
    <mergeCell ref="I99:I106"/>
    <mergeCell ref="H99:H106"/>
    <mergeCell ref="A26:A27"/>
    <mergeCell ref="B26:B27"/>
    <mergeCell ref="C26:C27"/>
    <mergeCell ref="D26:D27"/>
    <mergeCell ref="H26:H27"/>
    <mergeCell ref="I26:I27"/>
    <mergeCell ref="A28:A29"/>
    <mergeCell ref="B28:B29"/>
    <mergeCell ref="C28:C29"/>
    <mergeCell ref="D28:D29"/>
    <mergeCell ref="H28:H29"/>
    <mergeCell ref="I28:I29"/>
    <mergeCell ref="A39:A41"/>
    <mergeCell ref="B39:B41"/>
    <mergeCell ref="C39:C41"/>
    <mergeCell ref="D39:D41"/>
    <mergeCell ref="H39:H41"/>
    <mergeCell ref="B76:B77"/>
    <mergeCell ref="D76:D77"/>
    <mergeCell ref="C76:C77"/>
    <mergeCell ref="A76:A77"/>
    <mergeCell ref="H76:H77"/>
    <mergeCell ref="I76:I77"/>
    <mergeCell ref="D95:D97"/>
    <mergeCell ref="H95:H97"/>
    <mergeCell ref="I95:I97"/>
    <mergeCell ref="A188:A189"/>
    <mergeCell ref="H188:H189"/>
    <mergeCell ref="I188:I189"/>
    <mergeCell ref="H190:H191"/>
    <mergeCell ref="I190:I191"/>
    <mergeCell ref="B188:B189"/>
    <mergeCell ref="B190:B191"/>
    <mergeCell ref="H196:H197"/>
    <mergeCell ref="I196:I197"/>
    <mergeCell ref="D196:D197"/>
    <mergeCell ref="C196:C197"/>
    <mergeCell ref="B196:B197"/>
    <mergeCell ref="A196:A197"/>
    <mergeCell ref="F496:I496"/>
    <mergeCell ref="F464:I464"/>
    <mergeCell ref="F465:I465"/>
    <mergeCell ref="F462:I462"/>
    <mergeCell ref="F463:I463"/>
    <mergeCell ref="F497:I497"/>
    <mergeCell ref="F498:I498"/>
    <mergeCell ref="F448:I448"/>
    <mergeCell ref="F449:I449"/>
    <mergeCell ref="F452:I452"/>
    <mergeCell ref="F453:I453"/>
    <mergeCell ref="F454:I454"/>
    <mergeCell ref="F456:I456"/>
    <mergeCell ref="F457:I457"/>
    <mergeCell ref="F455:I455"/>
    <mergeCell ref="F487:I487"/>
    <mergeCell ref="F488:I488"/>
    <mergeCell ref="F489:I489"/>
    <mergeCell ref="F490:I490"/>
    <mergeCell ref="F491:I491"/>
    <mergeCell ref="F492:I492"/>
    <mergeCell ref="F493:I493"/>
    <mergeCell ref="F494:I494"/>
    <mergeCell ref="F495:I495"/>
    <mergeCell ref="F478:I478"/>
    <mergeCell ref="F479:I479"/>
    <mergeCell ref="F481:I481"/>
    <mergeCell ref="F480:I480"/>
    <mergeCell ref="F482:I482"/>
    <mergeCell ref="F483:I483"/>
    <mergeCell ref="F484:I484"/>
    <mergeCell ref="F485:I485"/>
    <mergeCell ref="F486:I486"/>
    <mergeCell ref="F469:I469"/>
    <mergeCell ref="F470:I470"/>
    <mergeCell ref="F471:I471"/>
    <mergeCell ref="F472:I472"/>
    <mergeCell ref="F473:I473"/>
    <mergeCell ref="F474:I474"/>
    <mergeCell ref="F475:I475"/>
    <mergeCell ref="F476:I476"/>
    <mergeCell ref="F477:I477"/>
    <mergeCell ref="F458:I458"/>
    <mergeCell ref="F459:I459"/>
    <mergeCell ref="A452:A453"/>
    <mergeCell ref="A456:A457"/>
    <mergeCell ref="F460:I460"/>
    <mergeCell ref="F461:I461"/>
    <mergeCell ref="F467:I467"/>
    <mergeCell ref="F468:I468"/>
    <mergeCell ref="F466:I466"/>
    <mergeCell ref="B452:B453"/>
    <mergeCell ref="C452:C453"/>
    <mergeCell ref="D452:D453"/>
    <mergeCell ref="B456:B457"/>
    <mergeCell ref="C456:C457"/>
    <mergeCell ref="D456:D457"/>
    <mergeCell ref="D357:D362"/>
    <mergeCell ref="C357:C362"/>
    <mergeCell ref="B357:B362"/>
    <mergeCell ref="A357:A362"/>
    <mergeCell ref="D239:D246"/>
    <mergeCell ref="C239:C246"/>
    <mergeCell ref="B239:B246"/>
    <mergeCell ref="A239:A246"/>
    <mergeCell ref="I239:I246"/>
    <mergeCell ref="H239:H246"/>
    <mergeCell ref="A251:A252"/>
    <mergeCell ref="B251:B252"/>
    <mergeCell ref="C251:C252"/>
    <mergeCell ref="D251:D252"/>
    <mergeCell ref="H251:H252"/>
    <mergeCell ref="I251:I252"/>
    <mergeCell ref="A253:A256"/>
    <mergeCell ref="B253:B256"/>
    <mergeCell ref="C253:C256"/>
    <mergeCell ref="D253:D256"/>
    <mergeCell ref="H253:H256"/>
    <mergeCell ref="I253:I256"/>
    <mergeCell ref="A257:A258"/>
    <mergeCell ref="B257:B258"/>
  </mergeCells>
  <phoneticPr fontId="56" type="noConversion"/>
  <hyperlinks>
    <hyperlink ref="B80:B85" r:id="rId1" display="See photo" xr:uid="{00000000-0004-0000-0200-000012000000}"/>
    <hyperlink ref="B135:B136" r:id="rId2" display="See photo" xr:uid="{00000000-0004-0000-0200-000030000000}"/>
    <hyperlink ref="B172:B177" r:id="rId3" display="See photo" xr:uid="{00000000-0004-0000-0200-00003B000000}"/>
    <hyperlink ref="B213:B220" r:id="rId4" display="See photo" xr:uid="{00000000-0004-0000-0200-000046000000}"/>
    <hyperlink ref="B81:B83" r:id="rId5" display="See photo" xr:uid="{8DE4191C-2DF1-4E6C-8854-654702E3B765}"/>
    <hyperlink ref="B51" r:id="rId6" xr:uid="{9B278F21-6FCA-4BF5-84D0-A159B99A5F7E}"/>
    <hyperlink ref="B57" r:id="rId7" xr:uid="{5617812A-AC8D-4114-BAA2-6FDD6A2D1B00}"/>
    <hyperlink ref="B83" r:id="rId8" xr:uid="{C153FC4E-2DBA-4AD6-B4A6-0C8F3EAEB6B3}"/>
    <hyperlink ref="B82" r:id="rId9" xr:uid="{651CA9A5-102B-489C-A166-550CE2C97E49}"/>
    <hyperlink ref="B48" r:id="rId10" xr:uid="{211979D1-9A2E-4736-9D72-881A4F5EF9E8}"/>
    <hyperlink ref="B48:B50" r:id="rId11" display="See photo" xr:uid="{21FE51E9-90EA-40B2-AA21-83D8AA83F07D}"/>
    <hyperlink ref="B45:B47" r:id="rId12" display="See photo" xr:uid="{4B7A09C7-E747-4EC9-A2F3-10E616858F91}"/>
    <hyperlink ref="B63:B65" r:id="rId13" display="See photo" xr:uid="{A982EB56-238B-4092-AC03-A8F6804FE020}"/>
    <hyperlink ref="B78" r:id="rId14" xr:uid="{EB8D6B27-6E7A-488B-A1C5-FF8DB0873B19}"/>
    <hyperlink ref="B79" r:id="rId15" xr:uid="{851EE902-5B09-438E-8A88-099370CD8E80}"/>
    <hyperlink ref="B66" r:id="rId16" xr:uid="{35FF7A39-7CE1-4F73-A6DC-7ACE23DE6B21}"/>
    <hyperlink ref="B39" r:id="rId17" xr:uid="{18196884-6ED1-45A5-A7BE-8A3E3A13A0AC}"/>
    <hyperlink ref="B42" r:id="rId18" xr:uid="{BF341BF9-92B3-4A71-9744-E1E1E03A0D3B}"/>
    <hyperlink ref="B42:B44" r:id="rId19" display="See photo" xr:uid="{34B3FD78-2CCC-4C8C-A096-1C661015DC3C}"/>
    <hyperlink ref="B54:B56" r:id="rId20" display="See photo" xr:uid="{CC49425E-63A4-4E23-A1BD-E97B7F881C54}"/>
    <hyperlink ref="B60:B62" r:id="rId21" display="See photo" xr:uid="{A064C69E-6D8E-440E-A1C2-1A8283BEEF2D}"/>
    <hyperlink ref="B75" r:id="rId22" xr:uid="{F87D16D4-7B06-4F10-B82C-D0666F358B69}"/>
    <hyperlink ref="B74" r:id="rId23" xr:uid="{5FA9AC6A-A48E-4CF1-AB2D-ECEB723813D2}"/>
    <hyperlink ref="B81" r:id="rId24" xr:uid="{9313B5C9-0534-426A-A753-F87E7CB2B720}"/>
    <hyperlink ref="B39:B41" r:id="rId25" display="See photo" xr:uid="{A2A9AF75-AE51-414F-A6D1-CC57221A1B52}"/>
    <hyperlink ref="B30" r:id="rId26" xr:uid="{2050326F-3218-4355-A3EA-433BCEEC7ECD}"/>
    <hyperlink ref="B33:B35" r:id="rId27" display="See photo" xr:uid="{2EB84469-D405-4A1C-8E78-76E3C20DF143}"/>
    <hyperlink ref="B36" r:id="rId28" xr:uid="{8B510242-0637-472C-AF50-D44F06A553F7}"/>
    <hyperlink ref="B36:B38" r:id="rId29" display="See photo" xr:uid="{5E3B2324-E1BF-4B91-A11B-42B1DAA85B75}"/>
    <hyperlink ref="B30:B32" r:id="rId30" display="See photo" xr:uid="{00F26E6C-9D6F-4BBC-BE75-699224F932BD}"/>
    <hyperlink ref="B69" r:id="rId31" xr:uid="{3C55CC59-5FCB-4646-93EA-B98216EC2934}"/>
    <hyperlink ref="B69:B71" r:id="rId32" display="See photo" xr:uid="{68010640-99AC-4F10-9CDA-C7987F0CCAD2}"/>
    <hyperlink ref="B80" r:id="rId33" xr:uid="{CE805088-EFD7-46EF-B235-F0CA4B0820D3}"/>
    <hyperlink ref="B95:B97" r:id="rId34" display="See photo" xr:uid="{3610BAA4-7279-41BE-AAED-6347C3354406}"/>
    <hyperlink ref="B85:B86" r:id="rId35" display="See photo" xr:uid="{452082AA-1071-4259-905B-B0FA2214EBB3}"/>
    <hyperlink ref="B91" r:id="rId36" xr:uid="{60B2D3C8-D196-4A8F-AD32-19663109749D}"/>
    <hyperlink ref="B85:B87" r:id="rId37" location="_" display="See photo" xr:uid="{56F3E0BC-8354-4683-900D-6ACAFA855761}"/>
    <hyperlink ref="B88" r:id="rId38" xr:uid="{023B63B0-4451-490C-A9FE-D07C4602F90E}"/>
    <hyperlink ref="B95" r:id="rId39" xr:uid="{A8B1E58A-F410-4088-8BD2-3CF4CE627710}"/>
    <hyperlink ref="B94" r:id="rId40" xr:uid="{D92D6CC6-7BA7-406D-8E6C-27EDCEC0E9C4}"/>
    <hyperlink ref="B88:B90" r:id="rId41" display="See photo" xr:uid="{145019A5-80A3-4E21-8CED-91CE40D957A5}"/>
    <hyperlink ref="B91:B93" r:id="rId42" display="See photo" xr:uid="{BDE19192-E672-49FF-BF3A-1A79C48E1C35}"/>
    <hyperlink ref="B121" r:id="rId43" xr:uid="{495B8932-26F0-4AEF-9846-3392C19CCCA6}"/>
    <hyperlink ref="B118" r:id="rId44" xr:uid="{7146A8D0-677B-4421-BC28-09CAC4964EC8}"/>
    <hyperlink ref="B125" r:id="rId45" xr:uid="{CF762B59-6F6A-405A-8924-02A07B30B790}"/>
    <hyperlink ref="B127" r:id="rId46" xr:uid="{8C78ACD1-CE0D-4E1F-A68C-9CD1BE4E02EA}"/>
    <hyperlink ref="B123" r:id="rId47" xr:uid="{501F4930-16F3-4ECA-BA47-D84843E71240}"/>
    <hyperlink ref="B109:B110" r:id="rId48" display="See photo" xr:uid="{07CDE4D0-5D08-48FE-90BE-1DDB67EF6BEC}"/>
    <hyperlink ref="B126" r:id="rId49" xr:uid="{90AC397C-34C6-4E85-AB37-C458C91376C0}"/>
    <hyperlink ref="B112" r:id="rId50" xr:uid="{DE2911CC-7614-4645-89E9-2EB97EDF7015}"/>
    <hyperlink ref="B112:B113" r:id="rId51" display="See photo" xr:uid="{C60C7532-4C39-4882-B730-0CD1BB01FDDD}"/>
    <hyperlink ref="B119" r:id="rId52" xr:uid="{3C52D031-DA03-45E8-BB7C-753E43D70C1A}"/>
    <hyperlink ref="B124" r:id="rId53" xr:uid="{CABD8C5F-58AB-4D87-9705-7938C0AF1C14}"/>
    <hyperlink ref="B129" r:id="rId54" xr:uid="{EC45B265-CDA3-4F69-B6E2-B91795CE8FE6}"/>
    <hyperlink ref="B134" r:id="rId55" xr:uid="{5BA94FF2-2F2C-425D-91AA-6C95B98703C3}"/>
    <hyperlink ref="B114" r:id="rId56" xr:uid="{25AEE1B1-6A68-4EC1-9027-78D8DE8601DD}"/>
    <hyperlink ref="B116" r:id="rId57" xr:uid="{DE34D9E3-AD61-4B83-9709-69E96B556584}"/>
    <hyperlink ref="B133" r:id="rId58" xr:uid="{49E46BE2-A888-4C6D-AFD5-C7AC86F614AF}"/>
    <hyperlink ref="B128" r:id="rId59" xr:uid="{0919E914-BDD2-46EE-A821-AE0E475B959D}"/>
    <hyperlink ref="B116:B117" r:id="rId60" display="See photo" xr:uid="{2E49B2DB-4CA1-4223-986E-2D4B47B7CE30}"/>
    <hyperlink ref="B132" r:id="rId61" xr:uid="{7553DDEA-B205-4246-BCEC-F7E9E370F7D7}"/>
    <hyperlink ref="B138" r:id="rId62" xr:uid="{C922AA76-752C-41A9-BDEF-1D28AA110A83}"/>
    <hyperlink ref="B136" r:id="rId63" xr:uid="{39061E40-5B1D-4B68-A2A0-A53A8D6E9236}"/>
    <hyperlink ref="B137" r:id="rId64" xr:uid="{2358BD2F-0489-4C9B-B973-57927467DA3E}"/>
    <hyperlink ref="B139" r:id="rId65" xr:uid="{B560BFF3-0BA2-4A03-AA09-2C3683C996BB}"/>
    <hyperlink ref="B141" r:id="rId66" xr:uid="{CF44BC32-912D-462A-87BE-928A6653F6FC}"/>
    <hyperlink ref="B140" r:id="rId67" xr:uid="{3EB1ACB9-F070-40B3-91C0-42F757698626}"/>
    <hyperlink ref="B142" r:id="rId68" xr:uid="{51F96DE8-52AB-4621-AEF0-26D6894EC73E}"/>
    <hyperlink ref="B153" r:id="rId69" xr:uid="{66251F7C-6766-475B-8DE3-C4671348E330}"/>
    <hyperlink ref="B147" r:id="rId70" xr:uid="{876A1043-C2FC-49E5-A4CD-E6AB6F52DFF0}"/>
    <hyperlink ref="B148" r:id="rId71" xr:uid="{8B98FBE9-94C3-4014-9425-384A7B762E85}"/>
    <hyperlink ref="B150" r:id="rId72" xr:uid="{91A56DF4-40DA-4023-84AB-A927C93FF71C}"/>
    <hyperlink ref="B151" r:id="rId73" xr:uid="{82285EBC-BEE6-406D-858E-3DEAA67F00B5}"/>
    <hyperlink ref="B149" r:id="rId74" xr:uid="{06B518E0-FC55-4149-9F4F-D945D56643BF}"/>
    <hyperlink ref="B152" r:id="rId75" xr:uid="{DDE84C66-7ADC-479A-9C35-81E647BFA230}"/>
    <hyperlink ref="B144" r:id="rId76" xr:uid="{988E0609-BD54-4B5E-BF34-11E0C2DA2674}"/>
    <hyperlink ref="B145" r:id="rId77" xr:uid="{5FC9C594-2B71-49A1-AD71-399FFAE300BE}"/>
    <hyperlink ref="B146" r:id="rId78" xr:uid="{CA3754EE-0F21-4860-BC51-8E46059620F9}"/>
    <hyperlink ref="B155:B156" r:id="rId79" display="See photo" xr:uid="{977A7746-C4A7-4C71-947E-BBAA8AF5936D}"/>
    <hyperlink ref="B169:B171" r:id="rId80" display="See Photo" xr:uid="{3DE31AEF-D9A6-4D68-B8FD-1703AC097471}"/>
    <hyperlink ref="B168" r:id="rId81" xr:uid="{3E27C572-3105-4CE3-B61B-3D494553913D}"/>
    <hyperlink ref="B171" r:id="rId82" xr:uid="{980B1960-5F88-46DC-A8B9-91EBEC2BD643}"/>
    <hyperlink ref="B170" r:id="rId83" xr:uid="{DA165116-408E-401C-B400-157999873DA3}"/>
    <hyperlink ref="B169" r:id="rId84" xr:uid="{01958009-E3BE-44A2-A5E1-BE4676541B78}"/>
    <hyperlink ref="B167" r:id="rId85" xr:uid="{67DFA87B-8A50-4FEE-A444-BE436BE6E9F0}"/>
    <hyperlink ref="B155" r:id="rId86" xr:uid="{FCBBE742-5405-4A46-B3F5-8D6903DF76DC}"/>
    <hyperlink ref="B161" r:id="rId87" xr:uid="{D560CCB1-F738-4179-9903-EC16A47213C1}"/>
    <hyperlink ref="B161:B162" r:id="rId88" display="See photo" xr:uid="{20D58025-D416-4D22-8DFA-D416C8FB5A20}"/>
    <hyperlink ref="B161:B166" r:id="rId89" display="See photo" xr:uid="{AAE49A0B-9FF4-43D6-8225-500D8361A1C5}"/>
    <hyperlink ref="B174" r:id="rId90" xr:uid="{B81D4951-C2B8-4617-ADA4-0517378CCCFA}"/>
    <hyperlink ref="B181" r:id="rId91" xr:uid="{FCE32468-5DE9-41D8-A4F6-B0F9F923F318}"/>
    <hyperlink ref="B178" r:id="rId92" xr:uid="{3A6D3307-71CA-449F-BAC1-33FD230DE302}"/>
    <hyperlink ref="B184" r:id="rId93" xr:uid="{EDBB82E0-F445-4BDA-9240-7957912C36EE}"/>
    <hyperlink ref="B186" r:id="rId94" xr:uid="{AF9300ED-0156-4E9B-AD3F-FFA46938258A}"/>
    <hyperlink ref="B173" r:id="rId95" xr:uid="{53B3D763-4538-4B75-8DFC-B95FF03073AE}"/>
    <hyperlink ref="B192" r:id="rId96" xr:uid="{E12A3AD6-4C89-4A69-83F5-27FD9404CD2B}"/>
    <hyperlink ref="B193" r:id="rId97" xr:uid="{5062562C-3134-4FE7-B1B4-793AE182B860}"/>
    <hyperlink ref="B183" r:id="rId98" xr:uid="{392D72F5-551C-48C8-B0D7-2D0E99034924}"/>
    <hyperlink ref="B194" r:id="rId99" xr:uid="{B57A0281-0D0F-434F-BEE5-A9D9C2A77170}"/>
    <hyperlink ref="B195" r:id="rId100" xr:uid="{C2B9712E-7FD0-4DBD-B4AE-33F5DF11E562}"/>
    <hyperlink ref="B198" r:id="rId101" xr:uid="{4024402E-323D-45EB-AE74-CE7DD988B6B8}"/>
    <hyperlink ref="B199" r:id="rId102" xr:uid="{1A619165-6193-4474-9484-D1227B1B3D2E}"/>
    <hyperlink ref="B200" r:id="rId103" xr:uid="{33DDB4EC-F8C3-4558-86B3-97874B15317D}"/>
    <hyperlink ref="B212" r:id="rId104" xr:uid="{96D477A8-1B6D-4BC9-B0C6-3A3D4B4260F0}"/>
    <hyperlink ref="B206" r:id="rId105" xr:uid="{9BC323F5-19D9-48FC-A468-759B297988F2}"/>
    <hyperlink ref="B207" r:id="rId106" xr:uid="{D2011FA9-80A3-4146-9E5B-699E7ADE9146}"/>
    <hyperlink ref="B202" r:id="rId107" xr:uid="{F26097FF-771A-428A-AD3E-900C2B8B185E}"/>
    <hyperlink ref="B203" r:id="rId108" xr:uid="{1C81AFF6-82E9-4FAE-B79F-D09A59107EA7}"/>
    <hyperlink ref="B205" r:id="rId109" xr:uid="{D4EAD120-A441-4E38-B917-54860B588D0B}"/>
    <hyperlink ref="B209" r:id="rId110" xr:uid="{D9F894F5-83C4-41B3-9932-23B3229616CF}"/>
    <hyperlink ref="B208" r:id="rId111" xr:uid="{4C30875F-ED7C-41B5-B481-EB265F772E1B}"/>
    <hyperlink ref="B213" r:id="rId112" xr:uid="{F5CCED11-8AF9-42B8-8056-00B67974B884}"/>
    <hyperlink ref="B211" r:id="rId113" xr:uid="{E9D357B5-C1CD-450A-ABD7-7CE08253D351}"/>
    <hyperlink ref="B204" r:id="rId114" xr:uid="{E6F3DE0E-067A-4158-A5A3-AFE90D98696C}"/>
    <hyperlink ref="B210" r:id="rId115" xr:uid="{20AC15D0-109C-4B44-984C-2531D8788091}"/>
    <hyperlink ref="B201" r:id="rId116" xr:uid="{79AD5E41-A908-4C5B-BF62-B21AFF7E0DFD}"/>
    <hyperlink ref="B122" r:id="rId117" xr:uid="{0E8CAAC8-E0B8-4D08-A733-23EB28CF0B59}"/>
    <hyperlink ref="B176" r:id="rId118" xr:uid="{711CB372-34F7-4B7D-8C8A-7DC183593F68}"/>
    <hyperlink ref="B180" r:id="rId119" xr:uid="{32E7F01F-40B5-473B-9D71-8F8DE0D5024F}"/>
    <hyperlink ref="B215:B221" r:id="rId120" display="See photo" xr:uid="{3E23E71A-4EE7-4140-8A37-F0056C0A69D5}"/>
    <hyperlink ref="B399:B400" r:id="rId121" display="See photo" xr:uid="{FDB65082-F9C4-487C-9576-5C4CAA53CC8B}"/>
    <hyperlink ref="B215:B222" r:id="rId122" display="See photo" xr:uid="{35496A54-5F9E-4F08-9171-C415A7D391F7}"/>
    <hyperlink ref="B223" r:id="rId123" xr:uid="{DFDDA9E5-F57F-4A73-B7E4-8E99775CF214}"/>
    <hyperlink ref="B235:B238" r:id="rId124" display="See photo" xr:uid="{115D006B-8B89-4093-87BB-4E112E867C4F}"/>
    <hyperlink ref="B227:B234" r:id="rId125" display="See photo" xr:uid="{8C8CFBEA-70CF-4D50-A01E-F3E34498D3C7}"/>
    <hyperlink ref="B239:B245" r:id="rId126" display="See photo" xr:uid="{0FC46985-B5AC-4FA1-98CE-6FF2D025E9E7}"/>
    <hyperlink ref="B251:B252" r:id="rId127" display="See photo" xr:uid="{21DFBE03-2CD8-413B-9EC9-4790A9DACD57}"/>
    <hyperlink ref="B257" r:id="rId128" xr:uid="{6EBF0283-7DAA-4EC7-9FBD-2A5C4E5CAA1F}"/>
    <hyperlink ref="B259" r:id="rId129" xr:uid="{FF52582C-FC4D-47B8-8C69-EE8CE0C74CDC}"/>
    <hyperlink ref="B260:B262" r:id="rId130" display="See photo" xr:uid="{B08A554E-EAE7-4FD1-A7E5-1362E5AE28B8}"/>
    <hyperlink ref="B264:B266" r:id="rId131" display="See photo" xr:uid="{9441D57B-A1AD-4E81-98F2-248DB1B23135}"/>
    <hyperlink ref="B268" r:id="rId132" xr:uid="{8B05F1DB-B91F-409F-850F-B6202E39D366}"/>
    <hyperlink ref="B269" r:id="rId133" xr:uid="{07365D6B-C6DB-41BB-B777-DB69908AD9C3}"/>
    <hyperlink ref="B279" r:id="rId134" xr:uid="{484F6B15-3C0D-4C35-A072-64642881F9AC}"/>
    <hyperlink ref="B273" r:id="rId135" xr:uid="{0873DB09-3ECB-44F5-945B-E099D317EE74}"/>
    <hyperlink ref="B275" r:id="rId136" xr:uid="{CEDB3827-86D2-4255-B58E-EE7D924E955E}"/>
    <hyperlink ref="B327:B328" r:id="rId137" display="See photo" xr:uid="{A75E6931-7900-4F29-A828-9FCEB7DBA8B0}"/>
    <hyperlink ref="B329" r:id="rId138" xr:uid="{E9CF680E-7485-4F0A-B6CA-8318403D57CF}"/>
    <hyperlink ref="B330" r:id="rId139" xr:uid="{F4096883-66DA-4495-9537-3289A2340474}"/>
    <hyperlink ref="B334" r:id="rId140" xr:uid="{BBB4CDB4-1D87-4D02-96CB-CB9F8CBAFFB7}"/>
    <hyperlink ref="B338:B339" r:id="rId141" display="See photo" xr:uid="{8CC751D5-328E-4797-925D-9586D95F0912}"/>
    <hyperlink ref="B348:B351" r:id="rId142" display="See photo" xr:uid="{3E4C8FA4-98EE-4654-951E-36B62C0525CF}"/>
    <hyperlink ref="B353" r:id="rId143" xr:uid="{D3CC4F24-D258-40F9-B058-104EF1327D4D}"/>
    <hyperlink ref="B280:B281" r:id="rId144" display="See photo" xr:uid="{80030B89-F7DE-4DDF-B219-0B04E13C3008}"/>
    <hyperlink ref="B284:B287" r:id="rId145" display="See photo" xr:uid="{D0DF5446-64BE-46B9-BB06-895E740C55AB}"/>
    <hyperlink ref="B288:B293" r:id="rId146" display="See photo" xr:uid="{F0335BF5-BC9E-48EA-B839-140E2443AAE6}"/>
    <hyperlink ref="B296:B297" r:id="rId147" display="See photo" xr:uid="{14D35572-3E57-49CC-9C76-8108056B4F90}"/>
    <hyperlink ref="B296:B299" r:id="rId148" display="See photo" xr:uid="{DAADE252-9698-47A9-8292-375F6E1DE1C3}"/>
    <hyperlink ref="B300:B302" r:id="rId149" display="See photo" xr:uid="{9CABE30D-3796-4129-95E0-62F8CD06C5A1}"/>
    <hyperlink ref="B304:B307" r:id="rId150" display="See photo" xr:uid="{E2DF8615-44DE-4C6A-B472-9A3CA18E64F9}"/>
    <hyperlink ref="B308:B309" r:id="rId151" display="See photo" xr:uid="{CF87DF9A-B898-4B74-A76F-597E5516B054}"/>
    <hyperlink ref="B312:B317" r:id="rId152" display="See photo" xr:uid="{7E80CB10-2039-48C1-ABE8-0A2408660426}"/>
    <hyperlink ref="B326" r:id="rId153" xr:uid="{EACEDE5C-B685-4BEB-A8C8-14084FA3AEBD}"/>
    <hyperlink ref="B363:B365" r:id="rId154" display="See photo" xr:uid="{07621A77-9272-4DA3-BF65-A6CC9A190D8A}"/>
    <hyperlink ref="B367:B369" r:id="rId155" display="See photo" xr:uid="{9E4A2ABF-F8B4-4F29-83D6-295937C6A2DF}"/>
    <hyperlink ref="B374" r:id="rId156" xr:uid="{51B91E74-06EA-4956-BA66-1AA91885A711}"/>
    <hyperlink ref="B372" r:id="rId157" xr:uid="{85FF21E3-EA76-4087-95F6-34B8DC8DCE03}"/>
    <hyperlink ref="B372:B373" r:id="rId158" display="See photo" xr:uid="{6EF70598-6493-4A13-9A16-03F7F95390E1}"/>
    <hyperlink ref="B376:B377" r:id="rId159" display="See photo" xr:uid="{7C5E02E4-9FCC-4B43-BA44-39B20DEB7A24}"/>
    <hyperlink ref="B381" r:id="rId160" xr:uid="{7679F27C-81A0-494C-AB61-669B4388BE3C}"/>
    <hyperlink ref="B386:B387" r:id="rId161" display="See photo" xr:uid="{2D9129BC-13B2-4CBC-B475-A66A8BBB49F5}"/>
    <hyperlink ref="B392" r:id="rId162" xr:uid="{A246F282-9158-4DE2-91CF-E9D06010E5E3}"/>
    <hyperlink ref="B393" r:id="rId163" xr:uid="{06A8F6B9-705B-40CA-85EC-A163AE9F6448}"/>
    <hyperlink ref="B388" r:id="rId164" xr:uid="{ACB3A34A-852B-4699-AB5A-A5D25702ECFF}"/>
    <hyperlink ref="B391" r:id="rId165" xr:uid="{EE335209-E54F-4E70-B9A1-A790765C5772}"/>
    <hyperlink ref="B395" r:id="rId166" xr:uid="{F6886782-DE0D-44A5-9878-8347942D06BF}"/>
    <hyperlink ref="B397" r:id="rId167" xr:uid="{29C577D3-5696-4CBE-812D-FD295E8A6C4F}"/>
    <hyperlink ref="B407" r:id="rId168" xr:uid="{6259949F-53C2-4F11-ABEB-2C62DFF326FA}"/>
    <hyperlink ref="B403" r:id="rId169" xr:uid="{4460EA6F-CEE9-4FBF-86F7-AEA24B633572}"/>
    <hyperlink ref="B409:B410" r:id="rId170" display="See photo" xr:uid="{94DF3776-555F-40CB-914C-F79D322C1894}"/>
    <hyperlink ref="B411" r:id="rId171" xr:uid="{7B49B249-EE75-4F67-93E3-CF1CCC33E7A6}"/>
    <hyperlink ref="B412" r:id="rId172" xr:uid="{FC2E414A-ECDD-4734-A758-6B185E45A783}"/>
    <hyperlink ref="B416" r:id="rId173" xr:uid="{6B040FE6-C690-408B-A2F5-89DEDCD36572}"/>
    <hyperlink ref="B419" r:id="rId174" xr:uid="{94204ABA-7891-46D5-B7B9-48D130BA4AD6}"/>
    <hyperlink ref="B420" r:id="rId175" xr:uid="{0D9C9F15-277F-492C-9B18-5762818D706B}"/>
    <hyperlink ref="B417:B418" r:id="rId176" display="See photo" xr:uid="{6F48A553-2C29-405A-A0B3-775BCFDF42FA}"/>
    <hyperlink ref="B421" r:id="rId177" xr:uid="{AACC170E-7B7A-4FCA-B1B3-6C5EA267CE6D}"/>
    <hyperlink ref="B433" r:id="rId178" xr:uid="{F1A8EDB9-EB87-44E7-97CA-CAB47B65449B}"/>
    <hyperlink ref="B434" r:id="rId179" xr:uid="{93ACD91E-276B-4C8B-B78F-FD31ECB3877C}"/>
    <hyperlink ref="B437" r:id="rId180" xr:uid="{10D52E92-111D-4BE4-B5FC-E6A4E5E20A84}"/>
    <hyperlink ref="B439" r:id="rId181" xr:uid="{29C635D6-56F6-45CD-AA2E-45EF2A68F943}"/>
    <hyperlink ref="B440" r:id="rId182" xr:uid="{12F9DD6A-45B3-4530-AF9C-55DD53D733FD}"/>
    <hyperlink ref="B444" r:id="rId183" xr:uid="{813F2268-DE07-4877-84A3-AC3DC6332336}"/>
    <hyperlink ref="B445" r:id="rId184" xr:uid="{7C687BF9-A439-4575-8204-1067BDB1CF4B}"/>
    <hyperlink ref="B401" r:id="rId185" xr:uid="{EA338F0C-2BC8-431A-B387-E942C8952C00}"/>
    <hyperlink ref="B344:B345" r:id="rId186" display="See photo" xr:uid="{D4F29754-0132-45CD-B96B-2443BBF75499}"/>
    <hyperlink ref="B276:B277" r:id="rId187" display="See photo" xr:uid="{49A2AC2C-088E-460B-A958-60BDA465D141}"/>
    <hyperlink ref="B447" r:id="rId188" display="See photo" xr:uid="{FDB507FD-A4BF-4153-BE8C-17CAFBBC4BA0}"/>
    <hyperlink ref="B152:B155" r:id="rId189" display="See photo" xr:uid="{00000000-0004-0000-0200-000036000000}"/>
    <hyperlink ref="B443" r:id="rId190" xr:uid="{301E7C47-1AC1-4816-90DF-61E8C064F7A0}"/>
    <hyperlink ref="B72:B73" r:id="rId191" display="See photo" xr:uid="{03181A54-698E-469A-819C-E3145EFC885E}"/>
    <hyperlink ref="B130" r:id="rId192" xr:uid="{DFE3D953-E972-4AFB-A174-2CFB21E49159}"/>
    <hyperlink ref="B14" r:id="rId193" xr:uid="{3AA8A646-8179-4DC3-A5D1-C220E0AEF6BF}"/>
    <hyperlink ref="B15" r:id="rId194" xr:uid="{2EAFC1EB-52F0-4306-B0E8-2056D2BB5235}"/>
    <hyperlink ref="B12" r:id="rId195" xr:uid="{B475ED09-107C-44A6-8F4D-A7E726B6015F}"/>
    <hyperlink ref="B13" r:id="rId196" xr:uid="{52C1EA88-DBA3-4CFA-B5DB-457E80F0EFE1}"/>
    <hyperlink ref="B16" r:id="rId197" xr:uid="{D5B50DAF-3278-4331-A7FD-E3C3B9A04090}"/>
    <hyperlink ref="B9" r:id="rId198" xr:uid="{0FA95711-4CA2-465A-A0F4-92FE212E94FD}"/>
    <hyperlink ref="B270:B271" r:id="rId199" display="See photo" xr:uid="{E977C746-A131-47B4-B477-5417B71C0BE1}"/>
    <hyperlink ref="B272" r:id="rId200" xr:uid="{BBEA81DE-0FE6-4CF7-846D-93391EDB6DCD}"/>
    <hyperlink ref="B335:B336" r:id="rId201" display="See photo" xr:uid="{6F45402F-460B-4F6C-B73C-CAD9E67DC752}"/>
    <hyperlink ref="B337" r:id="rId202" xr:uid="{E9FF9E34-4897-4C18-B9F0-DD8DC775AF56}"/>
    <hyperlink ref="B355:B356" r:id="rId203" display="See photo" xr:uid="{DC848BEE-DD6A-411D-9854-DD1CD34DBF9B}"/>
    <hyperlink ref="B454" r:id="rId204" xr:uid="{254C228D-DEE1-4C0C-84D6-48744D79DD56}"/>
    <hyperlink ref="B452:B453" r:id="rId205" display="See photo" xr:uid="{CFF5263B-6E2A-40BB-BA6E-70478F154E70}"/>
    <hyperlink ref="B456" r:id="rId206" xr:uid="{385763D1-6E09-4C44-8A68-4B2DBB251478}"/>
    <hyperlink ref="B464" r:id="rId207" xr:uid="{F5A553E1-C153-4B69-BC0E-186EE01C185F}"/>
    <hyperlink ref="B465" r:id="rId208" xr:uid="{BB5AABA9-43EC-444D-8AD7-FF088C865514}"/>
    <hyperlink ref="B462" r:id="rId209" xr:uid="{D7F44B8C-CE48-4E45-9EEF-F0A05AA0A7AC}"/>
    <hyperlink ref="B466" r:id="rId210" xr:uid="{EF13FA27-44E5-4841-B2C1-700415429C54}"/>
    <hyperlink ref="B463" r:id="rId211" xr:uid="{97289B47-259C-4B06-AE18-8F93147683B5}"/>
    <hyperlink ref="B480" r:id="rId212" xr:uid="{20C3637E-88D9-4890-830F-BB4C2B2D2CCE}"/>
    <hyperlink ref="B455" r:id="rId213" xr:uid="{CF5EE8F5-56C1-4929-BAED-DD73D213C915}"/>
    <hyperlink ref="B458" r:id="rId214" xr:uid="{94135AEF-6517-482F-AB66-6FBF3EE613C0}"/>
    <hyperlink ref="B459" r:id="rId215" xr:uid="{1E703E10-AFDC-4413-A2DE-74214F54E59C}"/>
    <hyperlink ref="B460" r:id="rId216" xr:uid="{185778D5-05C6-4719-B8DE-325D0D6832CB}"/>
    <hyperlink ref="B461" r:id="rId217" xr:uid="{51DF0E64-0408-48F8-B3E2-6ED0406B00EE}"/>
    <hyperlink ref="B467" r:id="rId218" xr:uid="{07AFF6CF-A25E-49EF-9A03-28C6EED89812}"/>
    <hyperlink ref="B468" r:id="rId219" xr:uid="{78BA1BC6-8D9A-4755-9F33-C61C9B902BAF}"/>
    <hyperlink ref="B469" r:id="rId220" xr:uid="{A81B6186-F53D-41B5-90B3-AB302A8F9EF3}"/>
    <hyperlink ref="B470" r:id="rId221" xr:uid="{BA98EB33-56B8-477A-AE13-EC980312F0DD}"/>
    <hyperlink ref="B471" r:id="rId222" xr:uid="{F6AE780C-CDB9-49A8-B4C5-EC6922C581A0}"/>
    <hyperlink ref="B472" r:id="rId223" xr:uid="{6899C8E0-9B78-4246-AF21-4D46112E45D0}"/>
    <hyperlink ref="B473" r:id="rId224" xr:uid="{33CCBD7F-2004-432C-8DD8-9653A99CC39B}"/>
    <hyperlink ref="B474" r:id="rId225" xr:uid="{8629C2D1-660D-4021-8317-CB66FE5B078D}"/>
    <hyperlink ref="B475" r:id="rId226" xr:uid="{C289EEA3-9308-4ADC-9B93-F89D790AA193}"/>
    <hyperlink ref="B476" r:id="rId227" xr:uid="{242307CC-BD97-4667-B6B5-F0852436F436}"/>
    <hyperlink ref="B477" r:id="rId228" xr:uid="{08194692-7C67-4D06-A30C-765781E8FC5C}"/>
    <hyperlink ref="B478" r:id="rId229" xr:uid="{71F2BDF2-6B06-494D-903F-829BAEB9B525}"/>
    <hyperlink ref="B479" r:id="rId230" xr:uid="{A6267203-3CCB-49BC-970F-89B5E9342934}"/>
    <hyperlink ref="B481" r:id="rId231" xr:uid="{E9ACE852-2F52-4D66-B88A-A40532387FC7}"/>
    <hyperlink ref="B482" r:id="rId232" xr:uid="{FBF25ACA-4556-4CF3-AE2E-01F01D3BF7E3}"/>
    <hyperlink ref="B483" r:id="rId233" xr:uid="{4C71E967-F67F-4FFF-8035-34B87AF7CB82}"/>
    <hyperlink ref="B484" r:id="rId234" xr:uid="{6F68750D-E44D-4122-B6D2-00CE367CD78F}"/>
    <hyperlink ref="B485" r:id="rId235" xr:uid="{EF562D7F-99FE-4071-83F3-2C5C35E2A92D}"/>
    <hyperlink ref="B486" r:id="rId236" xr:uid="{33CF3D5E-1277-4F6C-9885-7D264200D747}"/>
    <hyperlink ref="B487" r:id="rId237" xr:uid="{F07F336F-0A7F-42C3-B54F-B8807B3C0711}"/>
    <hyperlink ref="B488" r:id="rId238" xr:uid="{C2DEE366-9CAC-448F-B115-DD268B5663F6}"/>
    <hyperlink ref="B489" r:id="rId239" xr:uid="{E09CBA0B-D12E-4CE6-B7AD-DDEC70B67CC2}"/>
    <hyperlink ref="B490" r:id="rId240" xr:uid="{C955072C-7A24-4D2C-90D6-A96A488D8B97}"/>
    <hyperlink ref="B491" r:id="rId241" xr:uid="{271E5FE3-777A-4D41-A99A-5F8C45335871}"/>
    <hyperlink ref="B492" r:id="rId242" xr:uid="{8C3D418A-7FAC-41D1-927D-547E4C3BE58C}"/>
    <hyperlink ref="B493" r:id="rId243" xr:uid="{8D72873B-DA54-45CF-B177-6F2ABBD78656}"/>
    <hyperlink ref="B494" r:id="rId244" xr:uid="{7AAA3B43-470A-4325-BA85-7C7B7459BCCA}"/>
    <hyperlink ref="B495" r:id="rId245" xr:uid="{E2D32FDF-3FDB-4C8C-A2BE-310B0289EE5F}"/>
    <hyperlink ref="B496" r:id="rId246" xr:uid="{369FE77E-AC9E-4ADF-AA62-9E4C10DC910D}"/>
    <hyperlink ref="B497" r:id="rId247" xr:uid="{814828DA-4ECC-4926-A127-F0EFD2A2B78F}"/>
    <hyperlink ref="B498" r:id="rId248" xr:uid="{29B5DB35-5E7C-4644-BEF5-F3CCF7112950}"/>
    <hyperlink ref="B384" r:id="rId249" xr:uid="{017D6B30-0B04-4A8F-948C-EF4576CB8660}"/>
    <hyperlink ref="B435" r:id="rId250" xr:uid="{92A7B88A-7624-490E-9EFB-C085C61E5470}"/>
  </hyperlinks>
  <printOptions horizontalCentered="1"/>
  <pageMargins left="0.25" right="0.25" top="0.75" bottom="0.75" header="0.3" footer="0.3"/>
  <pageSetup paperSize="9" scale="51" fitToHeight="0" orientation="portrait" r:id="rId25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AS723"/>
  <sheetViews>
    <sheetView showGridLines="0" zoomScale="85" zoomScaleNormal="85" workbookViewId="0">
      <pane ySplit="4" topLeftCell="A5" activePane="bottomLeft" state="frozen"/>
      <selection pane="bottomLeft" activeCell="Q249" sqref="Q249"/>
    </sheetView>
  </sheetViews>
  <sheetFormatPr baseColWidth="10" defaultColWidth="6.140625" defaultRowHeight="15"/>
  <cols>
    <col min="1" max="1" width="9.7109375" style="1" customWidth="1"/>
    <col min="2" max="2" width="12.28515625" style="28" customWidth="1"/>
    <col min="3" max="3" width="7.28515625" style="4" customWidth="1"/>
    <col min="4" max="4" width="29.42578125" style="38" bestFit="1" customWidth="1"/>
    <col min="5" max="5" width="24.7109375" style="38" bestFit="1" customWidth="1"/>
    <col min="6" max="6" width="18.85546875" style="38" bestFit="1" customWidth="1"/>
    <col min="7" max="7" width="42.85546875" style="38" bestFit="1" customWidth="1"/>
    <col min="8" max="8" width="10.7109375" style="4" customWidth="1"/>
    <col min="9" max="9" width="11" style="77" customWidth="1"/>
    <col min="10" max="10" width="14.85546875" style="78" bestFit="1" customWidth="1"/>
    <col min="11" max="11" width="10.28515625" style="79" customWidth="1"/>
    <col min="12" max="12" width="10.5703125" style="79" bestFit="1" customWidth="1"/>
    <col min="13" max="13" width="10.7109375" bestFit="1" customWidth="1"/>
    <col min="14" max="14" width="8.140625" bestFit="1" customWidth="1"/>
    <col min="15" max="16" width="11" customWidth="1"/>
    <col min="17" max="17" width="14.42578125" customWidth="1"/>
    <col min="19" max="23" width="6.140625" customWidth="1"/>
  </cols>
  <sheetData>
    <row r="1" spans="1:45" ht="36" customHeight="1" thickBot="1">
      <c r="A1" s="289" t="s">
        <v>137</v>
      </c>
      <c r="B1" s="289"/>
      <c r="C1" s="289"/>
      <c r="D1" s="289"/>
      <c r="E1" s="289"/>
      <c r="F1" s="289"/>
      <c r="G1" s="289"/>
      <c r="H1" s="289"/>
      <c r="I1" s="289"/>
      <c r="J1" s="289"/>
      <c r="K1" s="289"/>
      <c r="L1" s="289"/>
      <c r="M1" s="49"/>
    </row>
    <row r="2" spans="1:45" s="21" customFormat="1" ht="12" customHeight="1">
      <c r="A2" s="22" t="s">
        <v>25</v>
      </c>
      <c r="B2" s="24" t="s">
        <v>1</v>
      </c>
      <c r="C2" s="22" t="s">
        <v>2</v>
      </c>
      <c r="D2" s="36" t="s">
        <v>3</v>
      </c>
      <c r="E2" s="36" t="s">
        <v>21</v>
      </c>
      <c r="F2" s="36" t="s">
        <v>4</v>
      </c>
      <c r="G2" s="36" t="s">
        <v>5</v>
      </c>
      <c r="H2" s="22" t="s">
        <v>56</v>
      </c>
      <c r="I2" s="68" t="s">
        <v>55</v>
      </c>
      <c r="J2" s="69" t="s">
        <v>12</v>
      </c>
      <c r="K2" s="69" t="s">
        <v>16</v>
      </c>
      <c r="L2" s="45" t="s">
        <v>18</v>
      </c>
      <c r="M2" s="48"/>
      <c r="N2"/>
      <c r="O2"/>
      <c r="P2"/>
      <c r="Q2"/>
      <c r="R2"/>
      <c r="S2"/>
      <c r="T2"/>
      <c r="U2"/>
      <c r="V2"/>
      <c r="W2"/>
      <c r="X2"/>
      <c r="Y2"/>
      <c r="Z2"/>
      <c r="AA2"/>
      <c r="AB2"/>
      <c r="AC2"/>
      <c r="AD2"/>
      <c r="AE2"/>
      <c r="AF2"/>
      <c r="AG2"/>
      <c r="AH2"/>
      <c r="AI2"/>
      <c r="AJ2"/>
      <c r="AK2"/>
      <c r="AL2"/>
      <c r="AM2"/>
      <c r="AN2"/>
      <c r="AO2"/>
      <c r="AP2"/>
      <c r="AQ2"/>
      <c r="AR2"/>
      <c r="AS2"/>
    </row>
    <row r="3" spans="1:45" s="13" customFormat="1" ht="12" customHeight="1" thickBot="1">
      <c r="A3" s="9" t="s">
        <v>34</v>
      </c>
      <c r="B3" s="25" t="s">
        <v>1</v>
      </c>
      <c r="C3" s="9" t="s">
        <v>2</v>
      </c>
      <c r="D3" s="36" t="s">
        <v>6</v>
      </c>
      <c r="E3" s="36" t="s">
        <v>22</v>
      </c>
      <c r="F3" s="36" t="s">
        <v>7</v>
      </c>
      <c r="G3" s="36" t="s">
        <v>8</v>
      </c>
      <c r="H3" s="70" t="s">
        <v>58</v>
      </c>
      <c r="I3" s="71" t="s">
        <v>59</v>
      </c>
      <c r="J3" s="72" t="s">
        <v>14</v>
      </c>
      <c r="K3" s="72" t="s">
        <v>16</v>
      </c>
      <c r="L3" s="46" t="s">
        <v>19</v>
      </c>
      <c r="M3" s="50"/>
      <c r="N3"/>
      <c r="O3"/>
      <c r="P3"/>
      <c r="Q3"/>
      <c r="R3"/>
      <c r="S3"/>
      <c r="T3"/>
      <c r="U3"/>
      <c r="V3"/>
      <c r="W3"/>
      <c r="X3"/>
      <c r="Y3"/>
      <c r="Z3"/>
      <c r="AA3"/>
      <c r="AB3"/>
      <c r="AC3"/>
      <c r="AD3"/>
      <c r="AE3"/>
      <c r="AF3"/>
      <c r="AG3"/>
      <c r="AH3"/>
      <c r="AI3"/>
      <c r="AJ3"/>
      <c r="AK3"/>
      <c r="AL3"/>
      <c r="AM3"/>
      <c r="AN3"/>
      <c r="AO3"/>
      <c r="AP3"/>
      <c r="AQ3"/>
      <c r="AR3"/>
      <c r="AS3"/>
    </row>
    <row r="4" spans="1:45" s="14" customFormat="1" ht="12" customHeight="1">
      <c r="A4" s="10" t="s">
        <v>35</v>
      </c>
      <c r="B4" s="26" t="s">
        <v>1</v>
      </c>
      <c r="C4" s="10" t="s">
        <v>2</v>
      </c>
      <c r="D4" s="37" t="s">
        <v>9</v>
      </c>
      <c r="E4" s="37" t="s">
        <v>23</v>
      </c>
      <c r="F4" s="37" t="s">
        <v>10</v>
      </c>
      <c r="G4" s="37" t="s">
        <v>11</v>
      </c>
      <c r="H4" s="10" t="s">
        <v>57</v>
      </c>
      <c r="I4" s="19" t="s">
        <v>60</v>
      </c>
      <c r="J4" s="33" t="s">
        <v>15</v>
      </c>
      <c r="K4" s="33" t="s">
        <v>17</v>
      </c>
      <c r="L4" s="44" t="s">
        <v>20</v>
      </c>
      <c r="M4" s="48"/>
      <c r="N4"/>
      <c r="O4"/>
      <c r="P4"/>
      <c r="Q4"/>
      <c r="R4"/>
      <c r="S4"/>
      <c r="T4"/>
      <c r="U4"/>
      <c r="V4"/>
      <c r="W4"/>
      <c r="X4"/>
      <c r="Y4"/>
      <c r="Z4"/>
      <c r="AA4"/>
      <c r="AB4"/>
      <c r="AC4"/>
      <c r="AD4"/>
      <c r="AE4"/>
      <c r="AF4"/>
      <c r="AG4"/>
      <c r="AH4"/>
      <c r="AI4"/>
      <c r="AJ4"/>
      <c r="AK4"/>
      <c r="AL4"/>
      <c r="AM4"/>
      <c r="AN4"/>
      <c r="AO4"/>
      <c r="AP4"/>
      <c r="AQ4"/>
      <c r="AR4"/>
      <c r="AS4"/>
    </row>
    <row r="5" spans="1:45" s="51" customFormat="1" ht="21.75" customHeight="1">
      <c r="A5" s="291" t="s">
        <v>136</v>
      </c>
      <c r="B5" s="291"/>
      <c r="C5" s="291"/>
      <c r="D5" s="291"/>
      <c r="E5" s="291"/>
      <c r="F5" s="291"/>
      <c r="G5" s="291"/>
      <c r="H5" s="291"/>
      <c r="I5" s="291"/>
      <c r="J5" s="291"/>
      <c r="K5" s="291"/>
      <c r="L5" s="291"/>
      <c r="M5" s="53"/>
      <c r="N5" s="88"/>
      <c r="O5" s="88"/>
      <c r="P5" s="88"/>
      <c r="Q5" s="89"/>
      <c r="R5" s="89"/>
      <c r="S5" s="89"/>
      <c r="T5" s="89"/>
    </row>
    <row r="6" spans="1:45" s="11" customFormat="1" ht="21.75" customHeight="1">
      <c r="A6" s="93">
        <v>12</v>
      </c>
      <c r="B6" s="170" t="s">
        <v>164</v>
      </c>
      <c r="C6" s="94">
        <v>8397</v>
      </c>
      <c r="D6" s="95" t="s">
        <v>312</v>
      </c>
      <c r="E6" s="95" t="s">
        <v>107</v>
      </c>
      <c r="F6" s="95" t="s">
        <v>313</v>
      </c>
      <c r="G6" s="55" t="s">
        <v>40</v>
      </c>
      <c r="H6" s="95">
        <v>10</v>
      </c>
      <c r="I6" s="96">
        <v>1</v>
      </c>
      <c r="J6" s="102">
        <f>ROUNDUP('Tarifa 2026'!J7*(1+Instructions!$AA$9),3)</f>
        <v>61.8</v>
      </c>
      <c r="K6" s="103">
        <f>IF(I6=1,(ROUNDUP((J6*0.05+J6),3)),ROUNDUP((J6*0.05+J6),3))</f>
        <v>64.89</v>
      </c>
      <c r="L6" s="103" t="str">
        <f>IF(I6=1,"-",IF(AND(I6="",L4="-"),"-",ROUNDUP((J6*0.2)+J6,3)))</f>
        <v>-</v>
      </c>
      <c r="M6" s="73"/>
      <c r="N6" s="74"/>
      <c r="O6"/>
      <c r="P6"/>
      <c r="Q6"/>
      <c r="R6"/>
      <c r="S6"/>
      <c r="T6"/>
      <c r="U6"/>
      <c r="V6"/>
      <c r="W6"/>
      <c r="X6"/>
      <c r="Y6"/>
      <c r="Z6"/>
      <c r="AA6"/>
      <c r="AB6"/>
      <c r="AC6"/>
      <c r="AD6"/>
      <c r="AE6"/>
      <c r="AF6"/>
      <c r="AG6"/>
      <c r="AH6"/>
      <c r="AI6"/>
      <c r="AJ6"/>
      <c r="AK6"/>
      <c r="AL6"/>
      <c r="AM6"/>
      <c r="AN6"/>
      <c r="AO6"/>
      <c r="AP6"/>
      <c r="AQ6"/>
      <c r="AR6"/>
      <c r="AS6"/>
    </row>
    <row r="7" spans="1:45" s="11" customFormat="1" ht="21.75" customHeight="1">
      <c r="A7" s="97">
        <v>14</v>
      </c>
      <c r="B7" s="179" t="s">
        <v>164</v>
      </c>
      <c r="C7" s="98">
        <v>8392</v>
      </c>
      <c r="D7" s="99" t="s">
        <v>314</v>
      </c>
      <c r="E7" s="99" t="s">
        <v>107</v>
      </c>
      <c r="F7" s="99" t="s">
        <v>313</v>
      </c>
      <c r="G7" s="100" t="s">
        <v>40</v>
      </c>
      <c r="H7" s="99">
        <v>10</v>
      </c>
      <c r="I7" s="101">
        <v>1</v>
      </c>
      <c r="J7" s="104">
        <f>ROUNDUP('Tarifa 2026'!J8*(1+Instructions!$AA$9),3)</f>
        <v>49</v>
      </c>
      <c r="K7" s="105">
        <f t="shared" ref="K7:K23" si="0">IF(I7=1,(ROUNDUP((J7*0.05+J7),3)),ROUNDUP((J7*0.05+J7),3))</f>
        <v>51.45</v>
      </c>
      <c r="L7" s="105" t="str">
        <f t="shared" ref="L7:L23" si="1">IF(I7=1,"-",IF(AND(I7="",L5="-"),"-",ROUNDUP((J7*0.2)+J7,3)))</f>
        <v>-</v>
      </c>
      <c r="M7" s="73"/>
      <c r="N7" s="74"/>
      <c r="O7"/>
      <c r="P7"/>
      <c r="Q7"/>
      <c r="R7"/>
      <c r="S7"/>
      <c r="T7"/>
      <c r="U7"/>
      <c r="V7"/>
      <c r="W7"/>
      <c r="X7"/>
      <c r="Y7"/>
      <c r="Z7"/>
      <c r="AA7"/>
      <c r="AB7"/>
      <c r="AC7"/>
      <c r="AD7"/>
      <c r="AE7"/>
      <c r="AF7"/>
      <c r="AG7"/>
      <c r="AH7"/>
      <c r="AI7"/>
      <c r="AJ7"/>
      <c r="AK7"/>
      <c r="AL7"/>
      <c r="AM7"/>
      <c r="AN7"/>
      <c r="AO7"/>
      <c r="AP7"/>
      <c r="AQ7"/>
      <c r="AR7"/>
      <c r="AS7"/>
    </row>
    <row r="8" spans="1:45" s="11" customFormat="1" ht="21.75" customHeight="1">
      <c r="A8" s="111">
        <v>16</v>
      </c>
      <c r="B8" s="66" t="s">
        <v>53</v>
      </c>
      <c r="C8" s="112">
        <v>8385</v>
      </c>
      <c r="D8" s="91" t="s">
        <v>184</v>
      </c>
      <c r="E8" s="91" t="s">
        <v>107</v>
      </c>
      <c r="F8" s="91" t="s">
        <v>155</v>
      </c>
      <c r="G8" s="61" t="s">
        <v>40</v>
      </c>
      <c r="H8" s="91">
        <v>10</v>
      </c>
      <c r="I8" s="113">
        <v>1</v>
      </c>
      <c r="J8" s="102">
        <f>ROUNDUP('Tarifa 2026'!J9*(1+Instructions!$AA$9),3)</f>
        <v>74.5</v>
      </c>
      <c r="K8" s="103">
        <f t="shared" si="0"/>
        <v>78.224999999999994</v>
      </c>
      <c r="L8" s="103" t="str">
        <f t="shared" si="1"/>
        <v>-</v>
      </c>
      <c r="M8" s="73"/>
      <c r="N8" s="74"/>
      <c r="O8"/>
      <c r="P8"/>
      <c r="Q8"/>
      <c r="R8"/>
      <c r="S8"/>
      <c r="T8"/>
      <c r="U8"/>
      <c r="V8"/>
      <c r="W8"/>
      <c r="X8"/>
      <c r="Y8"/>
      <c r="Z8"/>
      <c r="AA8"/>
      <c r="AB8"/>
      <c r="AC8"/>
      <c r="AD8"/>
      <c r="AE8"/>
      <c r="AF8"/>
      <c r="AG8"/>
      <c r="AH8"/>
      <c r="AI8"/>
      <c r="AJ8"/>
      <c r="AK8"/>
      <c r="AL8"/>
      <c r="AM8"/>
      <c r="AN8"/>
      <c r="AO8"/>
      <c r="AP8"/>
      <c r="AQ8"/>
      <c r="AR8"/>
      <c r="AS8"/>
    </row>
    <row r="9" spans="1:45" s="11" customFormat="1" ht="21.75" customHeight="1">
      <c r="A9" s="97">
        <v>18</v>
      </c>
      <c r="B9" s="179" t="s">
        <v>164</v>
      </c>
      <c r="C9" s="98">
        <v>8395</v>
      </c>
      <c r="D9" s="99" t="s">
        <v>315</v>
      </c>
      <c r="E9" s="99" t="s">
        <v>107</v>
      </c>
      <c r="F9" s="99" t="s">
        <v>313</v>
      </c>
      <c r="G9" s="100" t="s">
        <v>40</v>
      </c>
      <c r="H9" s="99">
        <v>10</v>
      </c>
      <c r="I9" s="101">
        <v>1</v>
      </c>
      <c r="J9" s="104">
        <f>ROUNDUP('Tarifa 2026'!J10*(1+Instructions!$AA$9),3)</f>
        <v>53</v>
      </c>
      <c r="K9" s="105">
        <f t="shared" si="0"/>
        <v>55.65</v>
      </c>
      <c r="L9" s="105" t="str">
        <f t="shared" si="1"/>
        <v>-</v>
      </c>
      <c r="M9" s="73"/>
      <c r="N9" s="74"/>
      <c r="O9"/>
      <c r="P9"/>
      <c r="Q9"/>
      <c r="R9"/>
      <c r="S9"/>
      <c r="T9"/>
      <c r="U9"/>
      <c r="V9"/>
      <c r="W9"/>
      <c r="X9"/>
      <c r="Y9"/>
      <c r="Z9"/>
      <c r="AA9"/>
      <c r="AB9"/>
      <c r="AC9"/>
      <c r="AD9"/>
      <c r="AE9"/>
      <c r="AF9"/>
      <c r="AG9"/>
      <c r="AH9"/>
      <c r="AI9"/>
      <c r="AJ9"/>
      <c r="AK9"/>
      <c r="AL9"/>
      <c r="AM9"/>
      <c r="AN9"/>
      <c r="AO9"/>
      <c r="AP9"/>
      <c r="AQ9"/>
      <c r="AR9"/>
      <c r="AS9"/>
    </row>
    <row r="10" spans="1:45" s="11" customFormat="1" ht="21.75" customHeight="1">
      <c r="A10" s="93">
        <v>18</v>
      </c>
      <c r="B10" s="170" t="s">
        <v>164</v>
      </c>
      <c r="C10" s="94">
        <v>8394</v>
      </c>
      <c r="D10" s="95" t="s">
        <v>316</v>
      </c>
      <c r="E10" s="95" t="s">
        <v>107</v>
      </c>
      <c r="F10" s="95" t="s">
        <v>313</v>
      </c>
      <c r="G10" s="55" t="s">
        <v>40</v>
      </c>
      <c r="H10" s="95">
        <v>10</v>
      </c>
      <c r="I10" s="96">
        <v>1</v>
      </c>
      <c r="J10" s="102">
        <f>ROUNDUP('Tarifa 2026'!J11*(1+Instructions!$AA$9),3)</f>
        <v>54.5</v>
      </c>
      <c r="K10" s="103">
        <f t="shared" si="0"/>
        <v>57.225000000000001</v>
      </c>
      <c r="L10" s="103" t="str">
        <f t="shared" si="1"/>
        <v>-</v>
      </c>
      <c r="M10" s="73"/>
      <c r="N10" s="74"/>
      <c r="O10"/>
      <c r="P10"/>
      <c r="Q10"/>
      <c r="R10"/>
      <c r="S10"/>
      <c r="T10"/>
      <c r="U10"/>
      <c r="V10"/>
      <c r="W10"/>
      <c r="X10"/>
      <c r="Y10"/>
      <c r="Z10"/>
      <c r="AA10"/>
      <c r="AB10"/>
      <c r="AC10"/>
      <c r="AD10"/>
      <c r="AE10"/>
      <c r="AF10"/>
      <c r="AG10"/>
      <c r="AH10"/>
      <c r="AI10"/>
      <c r="AJ10"/>
      <c r="AK10"/>
      <c r="AL10"/>
      <c r="AM10"/>
      <c r="AN10"/>
      <c r="AO10"/>
      <c r="AP10"/>
      <c r="AQ10"/>
      <c r="AR10"/>
      <c r="AS10"/>
    </row>
    <row r="11" spans="1:45" s="11" customFormat="1" ht="21.75" customHeight="1">
      <c r="A11" s="97">
        <v>20</v>
      </c>
      <c r="B11" s="178" t="s">
        <v>53</v>
      </c>
      <c r="C11" s="98">
        <v>8382</v>
      </c>
      <c r="D11" s="99" t="s">
        <v>181</v>
      </c>
      <c r="E11" s="99" t="s">
        <v>107</v>
      </c>
      <c r="F11" s="99" t="s">
        <v>155</v>
      </c>
      <c r="G11" s="100" t="s">
        <v>40</v>
      </c>
      <c r="H11" s="99">
        <v>10</v>
      </c>
      <c r="I11" s="101">
        <v>1</v>
      </c>
      <c r="J11" s="104">
        <f>ROUNDUP('Tarifa 2026'!J12*(1+Instructions!$AA$9),3)</f>
        <v>54.6</v>
      </c>
      <c r="K11" s="105">
        <f t="shared" si="0"/>
        <v>57.33</v>
      </c>
      <c r="L11" s="105" t="str">
        <f t="shared" si="1"/>
        <v>-</v>
      </c>
      <c r="M11" s="73"/>
      <c r="N11" s="74"/>
      <c r="O11"/>
      <c r="P11"/>
      <c r="Q11"/>
      <c r="R11"/>
      <c r="S11"/>
      <c r="T11"/>
      <c r="U11"/>
      <c r="V11"/>
      <c r="W11"/>
      <c r="X11"/>
      <c r="Y11"/>
      <c r="Z11"/>
      <c r="AA11"/>
      <c r="AB11"/>
      <c r="AC11"/>
      <c r="AD11"/>
      <c r="AE11"/>
      <c r="AF11"/>
      <c r="AG11"/>
      <c r="AH11"/>
      <c r="AI11"/>
      <c r="AJ11"/>
      <c r="AK11"/>
      <c r="AL11"/>
      <c r="AM11"/>
      <c r="AN11"/>
      <c r="AO11"/>
      <c r="AP11"/>
      <c r="AQ11"/>
      <c r="AR11"/>
      <c r="AS11"/>
    </row>
    <row r="12" spans="1:45" s="11" customFormat="1" ht="21.75" customHeight="1">
      <c r="A12" s="111">
        <v>22</v>
      </c>
      <c r="B12" s="66" t="s">
        <v>53</v>
      </c>
      <c r="C12" s="112">
        <v>8383</v>
      </c>
      <c r="D12" s="91" t="s">
        <v>182</v>
      </c>
      <c r="E12" s="91" t="s">
        <v>107</v>
      </c>
      <c r="F12" s="91" t="s">
        <v>155</v>
      </c>
      <c r="G12" s="61" t="s">
        <v>40</v>
      </c>
      <c r="H12" s="91">
        <v>10</v>
      </c>
      <c r="I12" s="113">
        <v>1</v>
      </c>
      <c r="J12" s="102">
        <f>ROUNDUP('Tarifa 2026'!J13*(1+Instructions!$AA$9),3)</f>
        <v>56.5</v>
      </c>
      <c r="K12" s="103">
        <f t="shared" si="0"/>
        <v>59.325000000000003</v>
      </c>
      <c r="L12" s="103" t="str">
        <f t="shared" si="1"/>
        <v>-</v>
      </c>
      <c r="M12" s="73"/>
      <c r="N12" s="74"/>
      <c r="O12"/>
      <c r="P12"/>
      <c r="Q12"/>
      <c r="R12"/>
      <c r="S12"/>
      <c r="T12"/>
      <c r="U12"/>
      <c r="V12"/>
      <c r="W12"/>
      <c r="X12"/>
      <c r="Y12"/>
      <c r="Z12"/>
      <c r="AA12"/>
      <c r="AB12"/>
      <c r="AC12"/>
      <c r="AD12"/>
      <c r="AE12"/>
      <c r="AF12"/>
      <c r="AG12"/>
      <c r="AH12"/>
      <c r="AI12"/>
      <c r="AJ12"/>
      <c r="AK12"/>
      <c r="AL12"/>
      <c r="AM12"/>
      <c r="AN12"/>
      <c r="AO12"/>
      <c r="AP12"/>
      <c r="AQ12"/>
      <c r="AR12"/>
      <c r="AS12"/>
    </row>
    <row r="13" spans="1:45" s="11" customFormat="1" ht="21.75" customHeight="1">
      <c r="A13" s="97">
        <v>24</v>
      </c>
      <c r="B13" s="178" t="s">
        <v>53</v>
      </c>
      <c r="C13" s="98">
        <v>8380</v>
      </c>
      <c r="D13" s="99" t="s">
        <v>178</v>
      </c>
      <c r="E13" s="99" t="s">
        <v>107</v>
      </c>
      <c r="F13" s="99" t="s">
        <v>155</v>
      </c>
      <c r="G13" s="100" t="s">
        <v>40</v>
      </c>
      <c r="H13" s="99">
        <v>10</v>
      </c>
      <c r="I13" s="101">
        <v>1</v>
      </c>
      <c r="J13" s="104">
        <f>ROUNDUP('Tarifa 2026'!J14*(1+Instructions!$AA$9),3)</f>
        <v>60.7</v>
      </c>
      <c r="K13" s="105">
        <f t="shared" si="0"/>
        <v>63.734999999999999</v>
      </c>
      <c r="L13" s="105" t="str">
        <f t="shared" si="1"/>
        <v>-</v>
      </c>
      <c r="M13" s="73"/>
      <c r="N13" s="74"/>
      <c r="O13"/>
      <c r="P13"/>
      <c r="Q13"/>
      <c r="R13"/>
      <c r="S13"/>
      <c r="T13"/>
      <c r="U13"/>
      <c r="V13"/>
      <c r="W13"/>
      <c r="X13"/>
      <c r="Y13"/>
      <c r="Z13"/>
      <c r="AA13"/>
      <c r="AB13"/>
      <c r="AC13"/>
      <c r="AD13"/>
      <c r="AE13"/>
      <c r="AF13"/>
      <c r="AG13"/>
      <c r="AH13"/>
      <c r="AI13"/>
      <c r="AJ13"/>
      <c r="AK13"/>
      <c r="AL13"/>
      <c r="AM13"/>
      <c r="AN13"/>
      <c r="AO13"/>
      <c r="AP13"/>
      <c r="AQ13"/>
      <c r="AR13"/>
      <c r="AS13"/>
    </row>
    <row r="14" spans="1:45" s="11" customFormat="1" ht="21.75" customHeight="1">
      <c r="A14" s="111">
        <v>26</v>
      </c>
      <c r="B14" s="66" t="s">
        <v>53</v>
      </c>
      <c r="C14" s="112">
        <v>8381</v>
      </c>
      <c r="D14" s="91" t="s">
        <v>180</v>
      </c>
      <c r="E14" s="91" t="s">
        <v>107</v>
      </c>
      <c r="F14" s="91" t="s">
        <v>155</v>
      </c>
      <c r="G14" s="61" t="s">
        <v>40</v>
      </c>
      <c r="H14" s="91">
        <v>10</v>
      </c>
      <c r="I14" s="113">
        <v>1</v>
      </c>
      <c r="J14" s="102">
        <f>ROUNDUP('Tarifa 2026'!J15*(1+Instructions!$AA$9),3)</f>
        <v>62.3</v>
      </c>
      <c r="K14" s="103">
        <f t="shared" si="0"/>
        <v>65.415000000000006</v>
      </c>
      <c r="L14" s="103" t="str">
        <f t="shared" si="1"/>
        <v>-</v>
      </c>
      <c r="M14" s="73"/>
      <c r="N14" s="74"/>
      <c r="O14"/>
      <c r="P14"/>
      <c r="Q14"/>
      <c r="R14"/>
      <c r="S14"/>
      <c r="T14"/>
      <c r="U14"/>
      <c r="V14"/>
      <c r="W14"/>
      <c r="X14"/>
      <c r="Y14"/>
      <c r="Z14"/>
      <c r="AA14"/>
      <c r="AB14"/>
      <c r="AC14"/>
      <c r="AD14"/>
      <c r="AE14"/>
      <c r="AF14"/>
      <c r="AG14"/>
      <c r="AH14"/>
      <c r="AI14"/>
      <c r="AJ14"/>
      <c r="AK14"/>
      <c r="AL14"/>
      <c r="AM14"/>
      <c r="AN14"/>
      <c r="AO14"/>
      <c r="AP14"/>
      <c r="AQ14"/>
      <c r="AR14"/>
      <c r="AS14"/>
    </row>
    <row r="15" spans="1:45" s="11" customFormat="1" ht="21.75" customHeight="1">
      <c r="A15" s="97">
        <v>28</v>
      </c>
      <c r="B15" s="178" t="s">
        <v>53</v>
      </c>
      <c r="C15" s="98">
        <v>8384</v>
      </c>
      <c r="D15" s="99" t="s">
        <v>183</v>
      </c>
      <c r="E15" s="99" t="s">
        <v>107</v>
      </c>
      <c r="F15" s="99" t="s">
        <v>155</v>
      </c>
      <c r="G15" s="100" t="s">
        <v>40</v>
      </c>
      <c r="H15" s="99">
        <v>10</v>
      </c>
      <c r="I15" s="101">
        <v>1</v>
      </c>
      <c r="J15" s="104">
        <f>ROUNDUP('Tarifa 2026'!J16*(1+Instructions!$AA$9),3)</f>
        <v>60.2</v>
      </c>
      <c r="K15" s="105">
        <f t="shared" si="0"/>
        <v>63.21</v>
      </c>
      <c r="L15" s="105" t="str">
        <f t="shared" si="1"/>
        <v>-</v>
      </c>
      <c r="M15" s="73"/>
      <c r="N15" s="74"/>
      <c r="O15"/>
      <c r="P15"/>
      <c r="Q15"/>
      <c r="R15"/>
      <c r="S15"/>
      <c r="T15"/>
      <c r="U15"/>
      <c r="V15"/>
      <c r="W15"/>
      <c r="X15"/>
      <c r="Y15"/>
      <c r="Z15"/>
      <c r="AA15"/>
      <c r="AB15"/>
      <c r="AC15"/>
      <c r="AD15"/>
      <c r="AE15"/>
      <c r="AF15"/>
      <c r="AG15"/>
      <c r="AH15"/>
      <c r="AI15"/>
      <c r="AJ15"/>
      <c r="AK15"/>
      <c r="AL15"/>
      <c r="AM15"/>
      <c r="AN15"/>
      <c r="AO15"/>
      <c r="AP15"/>
      <c r="AQ15"/>
      <c r="AR15"/>
      <c r="AS15"/>
    </row>
    <row r="16" spans="1:45" s="11" customFormat="1" ht="21.75" customHeight="1">
      <c r="A16" s="93">
        <v>30</v>
      </c>
      <c r="B16" s="170" t="s">
        <v>164</v>
      </c>
      <c r="C16" s="94">
        <v>8388</v>
      </c>
      <c r="D16" s="95" t="s">
        <v>317</v>
      </c>
      <c r="E16" s="95" t="s">
        <v>107</v>
      </c>
      <c r="F16" s="95" t="s">
        <v>318</v>
      </c>
      <c r="G16" s="55" t="s">
        <v>40</v>
      </c>
      <c r="H16" s="95">
        <v>10</v>
      </c>
      <c r="I16" s="96">
        <v>1</v>
      </c>
      <c r="J16" s="102">
        <f>ROUNDUP('Tarifa 2026'!J17*(1+Instructions!$AA$9),3)</f>
        <v>40.5</v>
      </c>
      <c r="K16" s="103">
        <f t="shared" si="0"/>
        <v>42.524999999999999</v>
      </c>
      <c r="L16" s="103" t="str">
        <f t="shared" si="1"/>
        <v>-</v>
      </c>
      <c r="M16" s="73"/>
      <c r="N16" s="74"/>
      <c r="O16"/>
      <c r="P16"/>
      <c r="Q16"/>
      <c r="R16"/>
      <c r="S16"/>
      <c r="T16"/>
      <c r="U16"/>
      <c r="V16"/>
      <c r="W16"/>
      <c r="X16"/>
      <c r="Y16"/>
      <c r="Z16"/>
      <c r="AA16"/>
      <c r="AB16"/>
      <c r="AC16"/>
      <c r="AD16"/>
      <c r="AE16"/>
      <c r="AF16"/>
      <c r="AG16"/>
      <c r="AH16"/>
      <c r="AI16"/>
      <c r="AJ16"/>
      <c r="AK16"/>
      <c r="AL16"/>
      <c r="AM16"/>
      <c r="AN16"/>
      <c r="AO16"/>
      <c r="AP16"/>
      <c r="AQ16"/>
      <c r="AR16"/>
      <c r="AS16"/>
    </row>
    <row r="17" spans="1:45" s="11" customFormat="1" ht="21.75" customHeight="1">
      <c r="A17" s="97">
        <v>32</v>
      </c>
      <c r="B17" s="179" t="s">
        <v>164</v>
      </c>
      <c r="C17" s="98">
        <v>8389</v>
      </c>
      <c r="D17" s="99" t="s">
        <v>319</v>
      </c>
      <c r="E17" s="99" t="s">
        <v>107</v>
      </c>
      <c r="F17" s="99" t="s">
        <v>318</v>
      </c>
      <c r="G17" s="100" t="s">
        <v>40</v>
      </c>
      <c r="H17" s="99">
        <v>10</v>
      </c>
      <c r="I17" s="101">
        <v>1</v>
      </c>
      <c r="J17" s="104">
        <f>ROUNDUP('Tarifa 2026'!J18*(1+Instructions!$AA$9),3)</f>
        <v>43</v>
      </c>
      <c r="K17" s="105">
        <f t="shared" si="0"/>
        <v>45.15</v>
      </c>
      <c r="L17" s="105" t="str">
        <f t="shared" si="1"/>
        <v>-</v>
      </c>
      <c r="M17" s="73"/>
      <c r="N17" s="74"/>
      <c r="O17"/>
      <c r="P17"/>
      <c r="Q17"/>
      <c r="R17"/>
      <c r="S17"/>
      <c r="T17"/>
      <c r="U17"/>
      <c r="V17"/>
      <c r="W17"/>
      <c r="X17"/>
      <c r="Y17"/>
      <c r="Z17"/>
      <c r="AA17"/>
      <c r="AB17"/>
      <c r="AC17"/>
      <c r="AD17"/>
      <c r="AE17"/>
      <c r="AF17"/>
      <c r="AG17"/>
      <c r="AH17"/>
      <c r="AI17"/>
      <c r="AJ17"/>
      <c r="AK17"/>
      <c r="AL17"/>
      <c r="AM17"/>
      <c r="AN17"/>
      <c r="AO17"/>
      <c r="AP17"/>
      <c r="AQ17"/>
      <c r="AR17"/>
      <c r="AS17"/>
    </row>
    <row r="18" spans="1:45" s="11" customFormat="1" ht="21.75" customHeight="1">
      <c r="A18" s="93">
        <v>34</v>
      </c>
      <c r="B18" s="170" t="s">
        <v>164</v>
      </c>
      <c r="C18" s="94">
        <v>8390</v>
      </c>
      <c r="D18" s="95" t="s">
        <v>320</v>
      </c>
      <c r="E18" s="95" t="s">
        <v>107</v>
      </c>
      <c r="F18" s="95" t="s">
        <v>318</v>
      </c>
      <c r="G18" s="55" t="s">
        <v>40</v>
      </c>
      <c r="H18" s="95">
        <v>10</v>
      </c>
      <c r="I18" s="96">
        <v>1</v>
      </c>
      <c r="J18" s="102">
        <f>ROUNDUP('Tarifa 2026'!J19*(1+Instructions!$AA$9),3)</f>
        <v>73</v>
      </c>
      <c r="K18" s="103">
        <f t="shared" si="0"/>
        <v>76.650000000000006</v>
      </c>
      <c r="L18" s="103" t="str">
        <f t="shared" si="1"/>
        <v>-</v>
      </c>
      <c r="M18" s="73"/>
      <c r="N18" s="74"/>
      <c r="O18"/>
      <c r="P18"/>
      <c r="Q18"/>
      <c r="R18"/>
      <c r="S18"/>
      <c r="T18"/>
      <c r="U18"/>
      <c r="V18"/>
      <c r="W18"/>
      <c r="X18"/>
      <c r="Y18"/>
      <c r="Z18"/>
      <c r="AA18"/>
      <c r="AB18"/>
      <c r="AC18"/>
      <c r="AD18"/>
      <c r="AE18"/>
      <c r="AF18"/>
      <c r="AG18"/>
      <c r="AH18"/>
      <c r="AI18"/>
      <c r="AJ18"/>
      <c r="AK18"/>
      <c r="AL18"/>
      <c r="AM18"/>
      <c r="AN18"/>
      <c r="AO18"/>
      <c r="AP18"/>
      <c r="AQ18"/>
      <c r="AR18"/>
      <c r="AS18"/>
    </row>
    <row r="19" spans="1:45" s="11" customFormat="1" ht="21.75" customHeight="1">
      <c r="A19" s="97">
        <v>36</v>
      </c>
      <c r="B19" s="179" t="s">
        <v>164</v>
      </c>
      <c r="C19" s="98">
        <v>8391</v>
      </c>
      <c r="D19" s="99" t="s">
        <v>321</v>
      </c>
      <c r="E19" s="99" t="s">
        <v>107</v>
      </c>
      <c r="F19" s="99" t="s">
        <v>318</v>
      </c>
      <c r="G19" s="100" t="s">
        <v>40</v>
      </c>
      <c r="H19" s="99">
        <v>10</v>
      </c>
      <c r="I19" s="101">
        <v>1</v>
      </c>
      <c r="J19" s="104">
        <f>ROUNDUP('Tarifa 2026'!J20*(1+Instructions!$AA$9),3)</f>
        <v>75</v>
      </c>
      <c r="K19" s="105">
        <f t="shared" si="0"/>
        <v>78.75</v>
      </c>
      <c r="L19" s="105" t="str">
        <f t="shared" si="1"/>
        <v>-</v>
      </c>
      <c r="M19" s="73"/>
      <c r="N19" s="74"/>
      <c r="O19"/>
      <c r="P19"/>
      <c r="Q19"/>
      <c r="R19"/>
      <c r="S19"/>
      <c r="T19"/>
      <c r="U19"/>
      <c r="V19"/>
      <c r="W19"/>
      <c r="X19"/>
      <c r="Y19"/>
      <c r="Z19"/>
      <c r="AA19"/>
      <c r="AB19"/>
      <c r="AC19"/>
      <c r="AD19"/>
      <c r="AE19"/>
      <c r="AF19"/>
      <c r="AG19"/>
      <c r="AH19"/>
      <c r="AI19"/>
      <c r="AJ19"/>
      <c r="AK19"/>
      <c r="AL19"/>
      <c r="AM19"/>
      <c r="AN19"/>
      <c r="AO19"/>
      <c r="AP19"/>
      <c r="AQ19"/>
      <c r="AR19"/>
      <c r="AS19"/>
    </row>
    <row r="20" spans="1:45" s="11" customFormat="1" ht="21.75" customHeight="1">
      <c r="A20" s="93">
        <v>38</v>
      </c>
      <c r="B20" s="170" t="s">
        <v>164</v>
      </c>
      <c r="C20" s="94">
        <v>8387</v>
      </c>
      <c r="D20" s="95" t="s">
        <v>322</v>
      </c>
      <c r="E20" s="95" t="s">
        <v>107</v>
      </c>
      <c r="F20" s="95" t="s">
        <v>318</v>
      </c>
      <c r="G20" s="55" t="s">
        <v>40</v>
      </c>
      <c r="H20" s="95">
        <v>10</v>
      </c>
      <c r="I20" s="96">
        <v>1</v>
      </c>
      <c r="J20" s="102">
        <f>ROUNDUP('Tarifa 2026'!J21*(1+Instructions!$AA$9),3)</f>
        <v>50</v>
      </c>
      <c r="K20" s="103">
        <f t="shared" si="0"/>
        <v>52.5</v>
      </c>
      <c r="L20" s="103" t="str">
        <f t="shared" si="1"/>
        <v>-</v>
      </c>
      <c r="M20" s="73"/>
      <c r="N20" s="74"/>
      <c r="O20"/>
      <c r="P20"/>
      <c r="Q20"/>
      <c r="R20"/>
      <c r="S20"/>
      <c r="T20"/>
      <c r="U20"/>
      <c r="V20"/>
      <c r="W20"/>
      <c r="X20"/>
      <c r="Y20"/>
      <c r="Z20"/>
      <c r="AA20"/>
      <c r="AB20"/>
      <c r="AC20"/>
      <c r="AD20"/>
      <c r="AE20"/>
      <c r="AF20"/>
      <c r="AG20"/>
      <c r="AH20"/>
      <c r="AI20"/>
      <c r="AJ20"/>
      <c r="AK20"/>
      <c r="AL20"/>
      <c r="AM20"/>
      <c r="AN20"/>
      <c r="AO20"/>
      <c r="AP20"/>
      <c r="AQ20"/>
      <c r="AR20"/>
      <c r="AS20"/>
    </row>
    <row r="21" spans="1:45" s="11" customFormat="1" ht="21.75" customHeight="1">
      <c r="A21" s="97">
        <v>40</v>
      </c>
      <c r="B21" s="179" t="s">
        <v>164</v>
      </c>
      <c r="C21" s="98">
        <v>8386</v>
      </c>
      <c r="D21" s="99" t="s">
        <v>323</v>
      </c>
      <c r="E21" s="99" t="s">
        <v>107</v>
      </c>
      <c r="F21" s="99" t="s">
        <v>318</v>
      </c>
      <c r="G21" s="100" t="s">
        <v>40</v>
      </c>
      <c r="H21" s="99">
        <v>10</v>
      </c>
      <c r="I21" s="101">
        <v>1</v>
      </c>
      <c r="J21" s="104">
        <f>ROUNDUP('Tarifa 2026'!J22*(1+Instructions!$AA$9),3)</f>
        <v>43.8</v>
      </c>
      <c r="K21" s="105">
        <f t="shared" si="0"/>
        <v>45.99</v>
      </c>
      <c r="L21" s="105" t="str">
        <f t="shared" si="1"/>
        <v>-</v>
      </c>
      <c r="M21" s="73"/>
      <c r="N21" s="74"/>
      <c r="O21"/>
      <c r="P21"/>
      <c r="Q21"/>
      <c r="R21"/>
      <c r="S21"/>
      <c r="T21"/>
      <c r="U21"/>
      <c r="V21"/>
      <c r="W21"/>
      <c r="X21"/>
      <c r="Y21"/>
      <c r="Z21"/>
      <c r="AA21"/>
      <c r="AB21"/>
      <c r="AC21"/>
      <c r="AD21"/>
      <c r="AE21"/>
      <c r="AF21"/>
      <c r="AG21"/>
      <c r="AH21"/>
      <c r="AI21"/>
      <c r="AJ21"/>
      <c r="AK21"/>
      <c r="AL21"/>
      <c r="AM21"/>
      <c r="AN21"/>
      <c r="AO21"/>
      <c r="AP21"/>
      <c r="AQ21"/>
      <c r="AR21"/>
      <c r="AS21"/>
    </row>
    <row r="22" spans="1:45" s="11" customFormat="1" ht="21.75" customHeight="1">
      <c r="A22" s="93">
        <v>41</v>
      </c>
      <c r="B22" s="170" t="s">
        <v>164</v>
      </c>
      <c r="C22" s="94">
        <v>8393</v>
      </c>
      <c r="D22" s="95" t="s">
        <v>324</v>
      </c>
      <c r="E22" s="91" t="s">
        <v>107</v>
      </c>
      <c r="F22" s="95" t="s">
        <v>179</v>
      </c>
      <c r="G22" s="55" t="s">
        <v>40</v>
      </c>
      <c r="H22" s="95">
        <v>10</v>
      </c>
      <c r="I22" s="96">
        <v>1</v>
      </c>
      <c r="J22" s="102">
        <f>ROUNDUP('Tarifa 2026'!J23*(1+Instructions!$AA$9),3)</f>
        <v>27</v>
      </c>
      <c r="K22" s="103">
        <f t="shared" si="0"/>
        <v>28.35</v>
      </c>
      <c r="L22" s="103" t="str">
        <f t="shared" si="1"/>
        <v>-</v>
      </c>
      <c r="M22" s="73"/>
      <c r="N22" s="74"/>
      <c r="O22"/>
      <c r="P22"/>
      <c r="Q22"/>
      <c r="R22"/>
      <c r="S22"/>
      <c r="T22"/>
      <c r="U22"/>
      <c r="V22"/>
      <c r="W22"/>
      <c r="X22"/>
      <c r="Y22"/>
      <c r="Z22"/>
      <c r="AA22"/>
      <c r="AB22"/>
      <c r="AC22"/>
      <c r="AD22"/>
      <c r="AE22"/>
      <c r="AF22"/>
      <c r="AG22"/>
      <c r="AH22"/>
      <c r="AI22"/>
      <c r="AJ22"/>
      <c r="AK22"/>
      <c r="AL22"/>
      <c r="AM22"/>
      <c r="AN22"/>
      <c r="AO22"/>
      <c r="AP22"/>
      <c r="AQ22"/>
      <c r="AR22"/>
      <c r="AS22"/>
    </row>
    <row r="23" spans="1:45" s="11" customFormat="1" ht="21.75" customHeight="1">
      <c r="A23" s="97">
        <v>42</v>
      </c>
      <c r="B23" s="179" t="s">
        <v>164</v>
      </c>
      <c r="C23" s="98">
        <v>8396</v>
      </c>
      <c r="D23" s="99" t="s">
        <v>325</v>
      </c>
      <c r="E23" s="99" t="s">
        <v>107</v>
      </c>
      <c r="F23" s="99" t="s">
        <v>313</v>
      </c>
      <c r="G23" s="100" t="s">
        <v>40</v>
      </c>
      <c r="H23" s="99">
        <v>10</v>
      </c>
      <c r="I23" s="101">
        <v>1</v>
      </c>
      <c r="J23" s="104">
        <f>ROUNDUP('Tarifa 2026'!J24*(1+Instructions!$AA$9),3)</f>
        <v>63</v>
      </c>
      <c r="K23" s="105">
        <f t="shared" si="0"/>
        <v>66.150000000000006</v>
      </c>
      <c r="L23" s="105" t="str">
        <f t="shared" si="1"/>
        <v>-</v>
      </c>
      <c r="M23" s="73"/>
      <c r="N23" s="74"/>
      <c r="O23"/>
      <c r="P23"/>
      <c r="Q23"/>
      <c r="R23"/>
      <c r="S23"/>
      <c r="T23"/>
      <c r="U23"/>
      <c r="V23"/>
      <c r="W23"/>
      <c r="X23"/>
      <c r="Y23"/>
      <c r="Z23"/>
      <c r="AA23"/>
      <c r="AB23"/>
      <c r="AC23"/>
      <c r="AD23"/>
      <c r="AE23"/>
      <c r="AF23"/>
      <c r="AG23"/>
      <c r="AH23"/>
      <c r="AI23"/>
      <c r="AJ23"/>
      <c r="AK23"/>
      <c r="AL23"/>
      <c r="AM23"/>
      <c r="AN23"/>
      <c r="AO23"/>
      <c r="AP23"/>
      <c r="AQ23"/>
      <c r="AR23"/>
      <c r="AS23"/>
    </row>
    <row r="24" spans="1:45" s="11" customFormat="1" ht="21.75" customHeight="1">
      <c r="A24" s="292" t="s">
        <v>185</v>
      </c>
      <c r="B24" s="292"/>
      <c r="C24" s="292"/>
      <c r="D24" s="292"/>
      <c r="E24" s="292"/>
      <c r="F24" s="292"/>
      <c r="G24" s="292"/>
      <c r="H24" s="292"/>
      <c r="I24" s="292"/>
      <c r="J24" s="292"/>
      <c r="K24" s="292"/>
      <c r="L24" s="292"/>
      <c r="M24" s="73"/>
      <c r="N24" s="74"/>
      <c r="O24"/>
      <c r="P24"/>
      <c r="Q24"/>
      <c r="R24"/>
      <c r="S24"/>
      <c r="T24"/>
      <c r="U24"/>
      <c r="V24"/>
      <c r="W24"/>
      <c r="X24"/>
      <c r="Y24"/>
      <c r="Z24"/>
      <c r="AA24"/>
      <c r="AB24"/>
      <c r="AC24"/>
      <c r="AD24"/>
      <c r="AE24"/>
      <c r="AF24"/>
      <c r="AG24"/>
      <c r="AH24"/>
      <c r="AI24"/>
      <c r="AJ24"/>
      <c r="AK24"/>
      <c r="AL24"/>
      <c r="AM24"/>
      <c r="AN24"/>
      <c r="AO24"/>
      <c r="AP24"/>
      <c r="AQ24"/>
      <c r="AR24"/>
      <c r="AS24"/>
    </row>
    <row r="25" spans="1:45" s="11" customFormat="1" ht="21.75" customHeight="1">
      <c r="A25" s="267">
        <v>49</v>
      </c>
      <c r="B25" s="268" t="s">
        <v>164</v>
      </c>
      <c r="C25" s="269">
        <v>9324</v>
      </c>
      <c r="D25" s="270" t="s">
        <v>302</v>
      </c>
      <c r="E25" s="109" t="s">
        <v>107</v>
      </c>
      <c r="F25" s="109" t="s">
        <v>80</v>
      </c>
      <c r="G25" s="109" t="s">
        <v>40</v>
      </c>
      <c r="H25" s="270">
        <v>50</v>
      </c>
      <c r="I25" s="271">
        <v>1</v>
      </c>
      <c r="J25" s="114">
        <f>ROUNDUP('Tarifa 2026'!J26*(1+Instructions!$AA$9),3)</f>
        <v>15.9</v>
      </c>
      <c r="K25" s="115">
        <f t="shared" ref="K25:K88" si="2">IF(I25=1,(ROUNDUP((J25*0.05+J25),3)),ROUNDUP((J25*0.05+J25),3))</f>
        <v>16.695</v>
      </c>
      <c r="L25" s="115" t="str">
        <f>IF(I25=1,"-",IF(AND(I25="",L11="-"),"-",ROUNDUP((J25*0.2)+J25,3)))</f>
        <v>-</v>
      </c>
      <c r="M25" s="73"/>
      <c r="N25" s="74"/>
      <c r="O25"/>
      <c r="P25"/>
      <c r="Q25"/>
      <c r="R25"/>
      <c r="S25"/>
      <c r="T25"/>
      <c r="U25"/>
      <c r="V25"/>
      <c r="W25"/>
      <c r="X25"/>
      <c r="Y25"/>
      <c r="Z25"/>
      <c r="AA25"/>
      <c r="AB25"/>
      <c r="AC25"/>
      <c r="AD25"/>
      <c r="AE25"/>
      <c r="AF25"/>
      <c r="AG25"/>
      <c r="AH25"/>
      <c r="AI25"/>
      <c r="AJ25"/>
      <c r="AK25"/>
      <c r="AL25"/>
      <c r="AM25"/>
      <c r="AN25"/>
      <c r="AO25"/>
      <c r="AP25"/>
      <c r="AQ25"/>
      <c r="AR25"/>
      <c r="AS25"/>
    </row>
    <row r="26" spans="1:45" s="11" customFormat="1" ht="21.75" customHeight="1">
      <c r="A26" s="267"/>
      <c r="B26" s="268"/>
      <c r="C26" s="269"/>
      <c r="D26" s="270"/>
      <c r="E26" s="109" t="s">
        <v>107</v>
      </c>
      <c r="F26" s="109" t="s">
        <v>78</v>
      </c>
      <c r="G26" s="109" t="s">
        <v>40</v>
      </c>
      <c r="H26" s="270"/>
      <c r="I26" s="271"/>
      <c r="J26" s="114">
        <f>ROUNDUP('Tarifa 2026'!J27*(1+Instructions!$AA$9),3)</f>
        <v>16.7</v>
      </c>
      <c r="K26" s="115">
        <f t="shared" ref="K26:K82" si="3">IF(I26=1,(ROUNDUP((J26*0.05+J26),3)),ROUNDUP((J26*0.05+J26),3))</f>
        <v>17.535</v>
      </c>
      <c r="L26" s="115" t="str">
        <f t="shared" ref="L26:L28" si="4">IF(I26=1,"-",IF(AND(I26="",L12="-"),"-",ROUNDUP((J26*0.2)+J26,3)))</f>
        <v>-</v>
      </c>
      <c r="M26" s="73"/>
      <c r="N26" s="74"/>
      <c r="O26"/>
      <c r="P26"/>
      <c r="Q26"/>
      <c r="R26"/>
      <c r="S26"/>
      <c r="T26"/>
      <c r="U26"/>
      <c r="V26"/>
      <c r="W26"/>
      <c r="X26"/>
      <c r="Y26"/>
      <c r="Z26"/>
      <c r="AA26"/>
      <c r="AB26"/>
      <c r="AC26"/>
      <c r="AD26"/>
      <c r="AE26"/>
      <c r="AF26"/>
      <c r="AG26"/>
      <c r="AH26"/>
      <c r="AI26"/>
      <c r="AJ26"/>
      <c r="AK26"/>
      <c r="AL26"/>
      <c r="AM26"/>
      <c r="AN26"/>
      <c r="AO26"/>
      <c r="AP26"/>
      <c r="AQ26"/>
      <c r="AR26"/>
      <c r="AS26"/>
    </row>
    <row r="27" spans="1:45" s="11" customFormat="1" ht="21.75" customHeight="1">
      <c r="A27" s="272">
        <v>49</v>
      </c>
      <c r="B27" s="273" t="s">
        <v>164</v>
      </c>
      <c r="C27" s="274">
        <v>9325</v>
      </c>
      <c r="D27" s="259" t="s">
        <v>303</v>
      </c>
      <c r="E27" s="91" t="s">
        <v>107</v>
      </c>
      <c r="F27" s="91" t="s">
        <v>80</v>
      </c>
      <c r="G27" s="91" t="s">
        <v>40</v>
      </c>
      <c r="H27" s="259">
        <v>25</v>
      </c>
      <c r="I27" s="260">
        <v>1</v>
      </c>
      <c r="J27" s="102">
        <f>ROUNDUP('Tarifa 2026'!J28*(1+Instructions!$AA$9),3)</f>
        <v>19.899999999999999</v>
      </c>
      <c r="K27" s="103">
        <f t="shared" si="3"/>
        <v>20.895</v>
      </c>
      <c r="L27" s="103" t="str">
        <f t="shared" si="4"/>
        <v>-</v>
      </c>
      <c r="M27" s="73"/>
      <c r="N27" s="74"/>
      <c r="O27"/>
      <c r="P27"/>
      <c r="Q27"/>
      <c r="R27"/>
      <c r="S27"/>
      <c r="T27"/>
      <c r="U27"/>
      <c r="V27"/>
      <c r="W27"/>
      <c r="X27"/>
      <c r="Y27"/>
      <c r="Z27"/>
      <c r="AA27"/>
      <c r="AB27"/>
      <c r="AC27"/>
      <c r="AD27"/>
      <c r="AE27"/>
      <c r="AF27"/>
      <c r="AG27"/>
      <c r="AH27"/>
      <c r="AI27"/>
      <c r="AJ27"/>
      <c r="AK27"/>
      <c r="AL27"/>
      <c r="AM27"/>
      <c r="AN27"/>
      <c r="AO27"/>
      <c r="AP27"/>
      <c r="AQ27"/>
      <c r="AR27"/>
      <c r="AS27"/>
    </row>
    <row r="28" spans="1:45" s="11" customFormat="1" ht="21.75" customHeight="1">
      <c r="A28" s="272"/>
      <c r="B28" s="273"/>
      <c r="C28" s="274"/>
      <c r="D28" s="259"/>
      <c r="E28" s="91" t="s">
        <v>107</v>
      </c>
      <c r="F28" s="91" t="s">
        <v>78</v>
      </c>
      <c r="G28" s="91" t="s">
        <v>40</v>
      </c>
      <c r="H28" s="259"/>
      <c r="I28" s="260"/>
      <c r="J28" s="102">
        <f>ROUNDUP('Tarifa 2026'!J29*(1+Instructions!$AA$9),3)</f>
        <v>21</v>
      </c>
      <c r="K28" s="103">
        <f t="shared" si="3"/>
        <v>22.05</v>
      </c>
      <c r="L28" s="103" t="str">
        <f t="shared" si="4"/>
        <v>-</v>
      </c>
      <c r="M28" s="73"/>
      <c r="N28" s="74"/>
      <c r="O28"/>
      <c r="P28"/>
      <c r="Q28"/>
      <c r="R28"/>
      <c r="S28"/>
      <c r="T28"/>
      <c r="U28"/>
      <c r="V28"/>
      <c r="W28"/>
      <c r="X28"/>
      <c r="Y28"/>
      <c r="Z28"/>
      <c r="AA28"/>
      <c r="AB28"/>
      <c r="AC28"/>
      <c r="AD28"/>
      <c r="AE28"/>
      <c r="AF28"/>
      <c r="AG28"/>
      <c r="AH28"/>
      <c r="AI28"/>
      <c r="AJ28"/>
      <c r="AK28"/>
      <c r="AL28"/>
      <c r="AM28"/>
      <c r="AN28"/>
      <c r="AO28"/>
      <c r="AP28"/>
      <c r="AQ28"/>
      <c r="AR28"/>
      <c r="AS28"/>
    </row>
    <row r="29" spans="1:45" s="11" customFormat="1" ht="21.75" customHeight="1">
      <c r="A29" s="267">
        <v>50</v>
      </c>
      <c r="B29" s="293" t="s">
        <v>53</v>
      </c>
      <c r="C29" s="269">
        <v>9317</v>
      </c>
      <c r="D29" s="270" t="s">
        <v>186</v>
      </c>
      <c r="E29" s="109" t="s">
        <v>107</v>
      </c>
      <c r="F29" s="109" t="s">
        <v>62</v>
      </c>
      <c r="G29" s="109" t="s">
        <v>40</v>
      </c>
      <c r="H29" s="270">
        <v>50</v>
      </c>
      <c r="I29" s="271">
        <v>1</v>
      </c>
      <c r="J29" s="114">
        <f>ROUNDUP('Tarifa 2026'!J30*(1+Instructions!$AA$9),3)</f>
        <v>17.899999999999999</v>
      </c>
      <c r="K29" s="115">
        <f t="shared" si="3"/>
        <v>18.795000000000002</v>
      </c>
      <c r="L29" s="115" t="str">
        <f t="shared" ref="L29:L82" si="5">IF(I29=1,"-",IF(AND(I29="",L27="-"),"-",ROUNDUP((J29*0.2)+J29,3)))</f>
        <v>-</v>
      </c>
      <c r="M29" s="73"/>
      <c r="N29" s="74"/>
      <c r="O29"/>
      <c r="P29"/>
      <c r="Q29"/>
      <c r="R29"/>
      <c r="S29"/>
      <c r="T29"/>
      <c r="U29"/>
      <c r="V29"/>
      <c r="W29"/>
      <c r="X29"/>
      <c r="Y29"/>
      <c r="Z29"/>
      <c r="AA29"/>
      <c r="AB29"/>
      <c r="AC29"/>
      <c r="AD29"/>
      <c r="AE29"/>
      <c r="AF29"/>
      <c r="AG29"/>
      <c r="AH29"/>
      <c r="AI29"/>
      <c r="AJ29"/>
      <c r="AK29"/>
      <c r="AL29"/>
      <c r="AM29"/>
      <c r="AN29"/>
      <c r="AO29"/>
      <c r="AP29"/>
      <c r="AQ29"/>
      <c r="AR29"/>
      <c r="AS29"/>
    </row>
    <row r="30" spans="1:45" s="11" customFormat="1" ht="21.75" customHeight="1">
      <c r="A30" s="267"/>
      <c r="B30" s="293"/>
      <c r="C30" s="269"/>
      <c r="D30" s="270"/>
      <c r="E30" s="109" t="s">
        <v>107</v>
      </c>
      <c r="F30" s="109" t="s">
        <v>78</v>
      </c>
      <c r="G30" s="109" t="s">
        <v>40</v>
      </c>
      <c r="H30" s="270"/>
      <c r="I30" s="271"/>
      <c r="J30" s="114">
        <f>ROUNDUP('Tarifa 2026'!J31*(1+Instructions!$AA$9),3)</f>
        <v>19.5</v>
      </c>
      <c r="K30" s="115">
        <f t="shared" si="3"/>
        <v>20.475000000000001</v>
      </c>
      <c r="L30" s="115" t="str">
        <f>IF(I30=1,"-",IF(AND(I30="",L29="-"),"-",ROUNDUP((J30*0.2)+J30,3)))</f>
        <v>-</v>
      </c>
      <c r="M30" s="73"/>
      <c r="N30" s="74"/>
      <c r="O30"/>
      <c r="P30"/>
      <c r="Q30"/>
      <c r="R30"/>
      <c r="S30"/>
      <c r="T30"/>
      <c r="U30"/>
      <c r="V30"/>
      <c r="W30"/>
      <c r="X30"/>
      <c r="Y30"/>
      <c r="Z30"/>
      <c r="AA30"/>
      <c r="AB30"/>
      <c r="AC30"/>
      <c r="AD30"/>
      <c r="AE30"/>
      <c r="AF30"/>
      <c r="AG30"/>
      <c r="AH30"/>
      <c r="AI30"/>
      <c r="AJ30"/>
      <c r="AK30"/>
      <c r="AL30"/>
      <c r="AM30"/>
      <c r="AN30"/>
      <c r="AO30"/>
      <c r="AP30"/>
      <c r="AQ30"/>
      <c r="AR30"/>
      <c r="AS30"/>
    </row>
    <row r="31" spans="1:45" s="11" customFormat="1" ht="21.75" customHeight="1">
      <c r="A31" s="267"/>
      <c r="B31" s="293"/>
      <c r="C31" s="269"/>
      <c r="D31" s="270"/>
      <c r="E31" s="109" t="s">
        <v>107</v>
      </c>
      <c r="F31" s="109" t="s">
        <v>79</v>
      </c>
      <c r="G31" s="109" t="s">
        <v>40</v>
      </c>
      <c r="H31" s="270"/>
      <c r="I31" s="271"/>
      <c r="J31" s="114">
        <f>ROUNDUP('Tarifa 2026'!J32*(1+Instructions!$AA$9),3)</f>
        <v>20</v>
      </c>
      <c r="K31" s="115">
        <f t="shared" si="3"/>
        <v>21</v>
      </c>
      <c r="L31" s="115" t="str">
        <f t="shared" si="5"/>
        <v>-</v>
      </c>
      <c r="M31" s="73"/>
      <c r="N31" s="74"/>
      <c r="O31"/>
      <c r="P31"/>
      <c r="Q31"/>
      <c r="R31"/>
      <c r="S31"/>
      <c r="T31"/>
      <c r="U31"/>
      <c r="V31"/>
      <c r="W31"/>
      <c r="X31"/>
      <c r="Y31"/>
      <c r="Z31"/>
      <c r="AA31"/>
      <c r="AB31"/>
      <c r="AC31"/>
      <c r="AD31"/>
      <c r="AE31"/>
      <c r="AF31"/>
      <c r="AG31"/>
      <c r="AH31"/>
      <c r="AI31"/>
      <c r="AJ31"/>
      <c r="AK31"/>
      <c r="AL31"/>
      <c r="AM31"/>
      <c r="AN31"/>
      <c r="AO31"/>
      <c r="AP31"/>
      <c r="AQ31"/>
      <c r="AR31"/>
      <c r="AS31"/>
    </row>
    <row r="32" spans="1:45" s="11" customFormat="1" ht="21.75" customHeight="1">
      <c r="A32" s="272">
        <v>50</v>
      </c>
      <c r="B32" s="284" t="s">
        <v>53</v>
      </c>
      <c r="C32" s="274">
        <v>9318</v>
      </c>
      <c r="D32" s="259" t="s">
        <v>187</v>
      </c>
      <c r="E32" s="95" t="s">
        <v>107</v>
      </c>
      <c r="F32" s="95" t="s">
        <v>62</v>
      </c>
      <c r="G32" s="95" t="s">
        <v>40</v>
      </c>
      <c r="H32" s="259">
        <v>50</v>
      </c>
      <c r="I32" s="260">
        <v>1</v>
      </c>
      <c r="J32" s="102">
        <f>ROUNDUP('Tarifa 2026'!J33*(1+Instructions!$AA$9),3)</f>
        <v>19.899999999999999</v>
      </c>
      <c r="K32" s="103">
        <f t="shared" si="3"/>
        <v>20.895</v>
      </c>
      <c r="L32" s="103" t="str">
        <f t="shared" si="5"/>
        <v>-</v>
      </c>
      <c r="M32" s="73"/>
      <c r="N32" s="74"/>
      <c r="O32"/>
      <c r="P32"/>
      <c r="Q32"/>
      <c r="R32"/>
      <c r="S32"/>
      <c r="T32"/>
      <c r="U32"/>
      <c r="V32"/>
      <c r="W32"/>
      <c r="X32"/>
      <c r="Y32"/>
      <c r="Z32"/>
      <c r="AA32"/>
      <c r="AB32"/>
      <c r="AC32"/>
      <c r="AD32"/>
      <c r="AE32"/>
      <c r="AF32"/>
      <c r="AG32"/>
      <c r="AH32"/>
      <c r="AI32"/>
      <c r="AJ32"/>
      <c r="AK32"/>
      <c r="AL32"/>
      <c r="AM32"/>
      <c r="AN32"/>
      <c r="AO32"/>
      <c r="AP32"/>
      <c r="AQ32"/>
      <c r="AR32"/>
      <c r="AS32"/>
    </row>
    <row r="33" spans="1:45" s="11" customFormat="1" ht="21.75" customHeight="1">
      <c r="A33" s="272"/>
      <c r="B33" s="284"/>
      <c r="C33" s="274"/>
      <c r="D33" s="259"/>
      <c r="E33" s="95" t="s">
        <v>107</v>
      </c>
      <c r="F33" s="95" t="s">
        <v>78</v>
      </c>
      <c r="G33" s="95" t="s">
        <v>40</v>
      </c>
      <c r="H33" s="259"/>
      <c r="I33" s="260"/>
      <c r="J33" s="102">
        <f>ROUNDUP('Tarifa 2026'!J34*(1+Instructions!$AA$9),3)</f>
        <v>21</v>
      </c>
      <c r="K33" s="103">
        <f t="shared" si="3"/>
        <v>22.05</v>
      </c>
      <c r="L33" s="103" t="str">
        <f t="shared" si="5"/>
        <v>-</v>
      </c>
      <c r="M33" s="73"/>
      <c r="N33" s="74"/>
      <c r="O33"/>
      <c r="P33"/>
      <c r="Q33"/>
      <c r="R33"/>
      <c r="S33"/>
      <c r="T33"/>
      <c r="U33"/>
      <c r="V33"/>
      <c r="W33"/>
      <c r="X33"/>
      <c r="Y33"/>
      <c r="Z33"/>
      <c r="AA33"/>
      <c r="AB33"/>
      <c r="AC33"/>
      <c r="AD33"/>
      <c r="AE33"/>
      <c r="AF33"/>
      <c r="AG33"/>
      <c r="AH33"/>
      <c r="AI33"/>
      <c r="AJ33"/>
      <c r="AK33"/>
      <c r="AL33"/>
      <c r="AM33"/>
      <c r="AN33"/>
      <c r="AO33"/>
      <c r="AP33"/>
      <c r="AQ33"/>
      <c r="AR33"/>
      <c r="AS33"/>
    </row>
    <row r="34" spans="1:45" s="11" customFormat="1" ht="21.75" customHeight="1">
      <c r="A34" s="272"/>
      <c r="B34" s="284"/>
      <c r="C34" s="274"/>
      <c r="D34" s="259"/>
      <c r="E34" s="95" t="s">
        <v>107</v>
      </c>
      <c r="F34" s="95" t="s">
        <v>79</v>
      </c>
      <c r="G34" s="95" t="s">
        <v>40</v>
      </c>
      <c r="H34" s="259"/>
      <c r="I34" s="260"/>
      <c r="J34" s="102">
        <f>ROUNDUP('Tarifa 2026'!J35*(1+Instructions!$AA$9),3)</f>
        <v>22</v>
      </c>
      <c r="K34" s="103">
        <f t="shared" si="3"/>
        <v>23.1</v>
      </c>
      <c r="L34" s="103" t="str">
        <f t="shared" si="5"/>
        <v>-</v>
      </c>
      <c r="M34" s="73"/>
      <c r="N34" s="74"/>
      <c r="O34"/>
      <c r="P34"/>
      <c r="Q34"/>
      <c r="R34"/>
      <c r="S34"/>
      <c r="T34"/>
      <c r="U34"/>
      <c r="V34"/>
      <c r="W34"/>
      <c r="X34"/>
      <c r="Y34"/>
      <c r="Z34"/>
      <c r="AA34"/>
      <c r="AB34"/>
      <c r="AC34"/>
      <c r="AD34"/>
      <c r="AE34"/>
      <c r="AF34"/>
      <c r="AG34"/>
      <c r="AH34"/>
      <c r="AI34"/>
      <c r="AJ34"/>
      <c r="AK34"/>
      <c r="AL34"/>
      <c r="AM34"/>
      <c r="AN34"/>
      <c r="AO34"/>
      <c r="AP34"/>
      <c r="AQ34"/>
      <c r="AR34"/>
      <c r="AS34"/>
    </row>
    <row r="35" spans="1:45" s="11" customFormat="1" ht="21.75" customHeight="1">
      <c r="A35" s="267">
        <v>51</v>
      </c>
      <c r="B35" s="293" t="s">
        <v>53</v>
      </c>
      <c r="C35" s="269">
        <v>9319</v>
      </c>
      <c r="D35" s="270" t="s">
        <v>188</v>
      </c>
      <c r="E35" s="109" t="s">
        <v>107</v>
      </c>
      <c r="F35" s="109" t="s">
        <v>62</v>
      </c>
      <c r="G35" s="109" t="s">
        <v>40</v>
      </c>
      <c r="H35" s="270">
        <v>50</v>
      </c>
      <c r="I35" s="271">
        <v>1</v>
      </c>
      <c r="J35" s="114">
        <f>ROUNDUP('Tarifa 2026'!J36*(1+Instructions!$AA$9),3)</f>
        <v>25</v>
      </c>
      <c r="K35" s="115">
        <f t="shared" si="3"/>
        <v>26.25</v>
      </c>
      <c r="L35" s="115" t="str">
        <f t="shared" si="5"/>
        <v>-</v>
      </c>
      <c r="M35" s="73"/>
      <c r="N35" s="74"/>
      <c r="O35"/>
      <c r="P35"/>
      <c r="Q35"/>
      <c r="R35"/>
      <c r="S35"/>
      <c r="T35"/>
      <c r="U35"/>
      <c r="V35"/>
      <c r="W35"/>
      <c r="X35"/>
      <c r="Y35"/>
      <c r="Z35"/>
      <c r="AA35"/>
      <c r="AB35"/>
      <c r="AC35"/>
      <c r="AD35"/>
      <c r="AE35"/>
      <c r="AF35"/>
      <c r="AG35"/>
      <c r="AH35"/>
      <c r="AI35"/>
      <c r="AJ35"/>
      <c r="AK35"/>
      <c r="AL35"/>
      <c r="AM35"/>
      <c r="AN35"/>
      <c r="AO35"/>
      <c r="AP35"/>
      <c r="AQ35"/>
      <c r="AR35"/>
      <c r="AS35"/>
    </row>
    <row r="36" spans="1:45" s="11" customFormat="1" ht="21.75" customHeight="1">
      <c r="A36" s="267"/>
      <c r="B36" s="293"/>
      <c r="C36" s="269"/>
      <c r="D36" s="270"/>
      <c r="E36" s="109" t="s">
        <v>107</v>
      </c>
      <c r="F36" s="109" t="s">
        <v>78</v>
      </c>
      <c r="G36" s="109" t="s">
        <v>40</v>
      </c>
      <c r="H36" s="270"/>
      <c r="I36" s="271"/>
      <c r="J36" s="114">
        <f>ROUNDUP('Tarifa 2026'!J37*(1+Instructions!$AA$9),3)</f>
        <v>26.3</v>
      </c>
      <c r="K36" s="115">
        <f t="shared" si="3"/>
        <v>27.614999999999998</v>
      </c>
      <c r="L36" s="115" t="str">
        <f t="shared" si="5"/>
        <v>-</v>
      </c>
      <c r="M36" s="73"/>
      <c r="N36" s="74"/>
      <c r="O36"/>
      <c r="P36"/>
      <c r="Q36"/>
      <c r="R36"/>
      <c r="S36"/>
      <c r="T36"/>
      <c r="U36"/>
      <c r="V36"/>
      <c r="W36"/>
      <c r="X36"/>
      <c r="Y36"/>
      <c r="Z36"/>
      <c r="AA36"/>
      <c r="AB36"/>
      <c r="AC36"/>
      <c r="AD36"/>
      <c r="AE36"/>
      <c r="AF36"/>
      <c r="AG36"/>
      <c r="AH36"/>
      <c r="AI36"/>
      <c r="AJ36"/>
      <c r="AK36"/>
      <c r="AL36"/>
      <c r="AM36"/>
      <c r="AN36"/>
      <c r="AO36"/>
      <c r="AP36"/>
      <c r="AQ36"/>
      <c r="AR36"/>
      <c r="AS36"/>
    </row>
    <row r="37" spans="1:45" s="11" customFormat="1" ht="21.75" customHeight="1">
      <c r="A37" s="267"/>
      <c r="B37" s="293"/>
      <c r="C37" s="269"/>
      <c r="D37" s="270"/>
      <c r="E37" s="109" t="s">
        <v>107</v>
      </c>
      <c r="F37" s="109" t="s">
        <v>79</v>
      </c>
      <c r="G37" s="109" t="s">
        <v>40</v>
      </c>
      <c r="H37" s="270"/>
      <c r="I37" s="271"/>
      <c r="J37" s="114">
        <f>ROUNDUP('Tarifa 2026'!J38*(1+Instructions!$AA$9),3)</f>
        <v>27.6</v>
      </c>
      <c r="K37" s="115">
        <f t="shared" si="3"/>
        <v>28.98</v>
      </c>
      <c r="L37" s="115" t="str">
        <f t="shared" si="5"/>
        <v>-</v>
      </c>
      <c r="M37" s="73"/>
      <c r="N37" s="74"/>
      <c r="O37"/>
      <c r="P37"/>
      <c r="Q37"/>
      <c r="R37"/>
      <c r="S37"/>
      <c r="T37"/>
      <c r="U37"/>
      <c r="V37"/>
      <c r="W37"/>
      <c r="X37"/>
      <c r="Y37"/>
      <c r="Z37"/>
      <c r="AA37"/>
      <c r="AB37"/>
      <c r="AC37"/>
      <c r="AD37"/>
      <c r="AE37"/>
      <c r="AF37"/>
      <c r="AG37"/>
      <c r="AH37"/>
      <c r="AI37"/>
      <c r="AJ37"/>
      <c r="AK37"/>
      <c r="AL37"/>
      <c r="AM37"/>
      <c r="AN37"/>
      <c r="AO37"/>
      <c r="AP37"/>
      <c r="AQ37"/>
      <c r="AR37"/>
      <c r="AS37"/>
    </row>
    <row r="38" spans="1:45" s="11" customFormat="1" ht="21.75" customHeight="1">
      <c r="A38" s="258">
        <v>52</v>
      </c>
      <c r="B38" s="275" t="s">
        <v>53</v>
      </c>
      <c r="C38" s="257">
        <v>9315</v>
      </c>
      <c r="D38" s="252" t="s">
        <v>189</v>
      </c>
      <c r="E38" s="91" t="s">
        <v>107</v>
      </c>
      <c r="F38" s="91" t="s">
        <v>62</v>
      </c>
      <c r="G38" s="91" t="s">
        <v>40</v>
      </c>
      <c r="H38" s="252">
        <v>50</v>
      </c>
      <c r="I38" s="253">
        <v>1</v>
      </c>
      <c r="J38" s="102">
        <f>ROUNDUP('Tarifa 2026'!J39*(1+Instructions!$AA$9),3)</f>
        <v>13</v>
      </c>
      <c r="K38" s="103">
        <f t="shared" si="3"/>
        <v>13.65</v>
      </c>
      <c r="L38" s="103" t="str">
        <f t="shared" si="5"/>
        <v>-</v>
      </c>
      <c r="M38" s="73"/>
      <c r="N38" s="74"/>
      <c r="O38"/>
      <c r="P38"/>
      <c r="Q38"/>
      <c r="R38"/>
      <c r="S38"/>
      <c r="T38"/>
      <c r="U38"/>
      <c r="V38"/>
      <c r="W38"/>
      <c r="X38"/>
      <c r="Y38"/>
      <c r="Z38"/>
      <c r="AA38"/>
      <c r="AB38"/>
      <c r="AC38"/>
      <c r="AD38"/>
      <c r="AE38"/>
      <c r="AF38"/>
      <c r="AG38"/>
      <c r="AH38"/>
      <c r="AI38"/>
      <c r="AJ38"/>
      <c r="AK38"/>
      <c r="AL38"/>
      <c r="AM38"/>
      <c r="AN38"/>
      <c r="AO38"/>
      <c r="AP38"/>
      <c r="AQ38"/>
      <c r="AR38"/>
      <c r="AS38"/>
    </row>
    <row r="39" spans="1:45" s="11" customFormat="1" ht="21.75" customHeight="1">
      <c r="A39" s="258"/>
      <c r="B39" s="275"/>
      <c r="C39" s="257"/>
      <c r="D39" s="252"/>
      <c r="E39" s="91" t="s">
        <v>107</v>
      </c>
      <c r="F39" s="91" t="s">
        <v>78</v>
      </c>
      <c r="G39" s="91" t="s">
        <v>40</v>
      </c>
      <c r="H39" s="252"/>
      <c r="I39" s="253"/>
      <c r="J39" s="102">
        <f>ROUNDUP('Tarifa 2026'!J40*(1+Instructions!$AA$9),3)</f>
        <v>13.8</v>
      </c>
      <c r="K39" s="103">
        <f t="shared" si="3"/>
        <v>14.49</v>
      </c>
      <c r="L39" s="103" t="str">
        <f t="shared" si="5"/>
        <v>-</v>
      </c>
      <c r="M39" s="73"/>
      <c r="N39" s="74"/>
      <c r="O39"/>
      <c r="P39"/>
      <c r="Q39"/>
      <c r="R39"/>
      <c r="S39"/>
      <c r="T39"/>
      <c r="U39"/>
      <c r="V39"/>
      <c r="W39"/>
      <c r="X39"/>
      <c r="Y39"/>
      <c r="Z39"/>
      <c r="AA39"/>
      <c r="AB39"/>
      <c r="AC39"/>
      <c r="AD39"/>
      <c r="AE39"/>
      <c r="AF39"/>
      <c r="AG39"/>
      <c r="AH39"/>
      <c r="AI39"/>
      <c r="AJ39"/>
      <c r="AK39"/>
      <c r="AL39"/>
      <c r="AM39"/>
      <c r="AN39"/>
      <c r="AO39"/>
      <c r="AP39"/>
      <c r="AQ39"/>
      <c r="AR39"/>
      <c r="AS39"/>
    </row>
    <row r="40" spans="1:45" s="11" customFormat="1" ht="21.75" customHeight="1">
      <c r="A40" s="258"/>
      <c r="B40" s="275"/>
      <c r="C40" s="257"/>
      <c r="D40" s="252"/>
      <c r="E40" s="91" t="s">
        <v>107</v>
      </c>
      <c r="F40" s="91" t="s">
        <v>79</v>
      </c>
      <c r="G40" s="91" t="s">
        <v>40</v>
      </c>
      <c r="H40" s="252"/>
      <c r="I40" s="253"/>
      <c r="J40" s="102">
        <f>ROUNDUP('Tarifa 2026'!J41*(1+Instructions!$AA$9),3)</f>
        <v>14.5</v>
      </c>
      <c r="K40" s="103">
        <f t="shared" si="3"/>
        <v>15.225</v>
      </c>
      <c r="L40" s="103" t="str">
        <f t="shared" si="5"/>
        <v>-</v>
      </c>
      <c r="M40" s="84"/>
      <c r="N40" s="74"/>
      <c r="O40"/>
      <c r="P40"/>
      <c r="Q40"/>
      <c r="R40"/>
      <c r="S40"/>
      <c r="T40"/>
      <c r="U40"/>
      <c r="V40"/>
      <c r="W40"/>
      <c r="X40"/>
      <c r="Y40"/>
      <c r="Z40"/>
      <c r="AA40"/>
      <c r="AB40"/>
      <c r="AC40"/>
      <c r="AD40"/>
      <c r="AE40"/>
      <c r="AF40"/>
      <c r="AG40"/>
      <c r="AH40"/>
      <c r="AI40"/>
      <c r="AJ40"/>
      <c r="AK40"/>
      <c r="AL40"/>
      <c r="AM40"/>
      <c r="AN40"/>
      <c r="AO40"/>
      <c r="AP40"/>
      <c r="AQ40"/>
      <c r="AR40"/>
      <c r="AS40"/>
    </row>
    <row r="41" spans="1:45" s="11" customFormat="1" ht="21.75" customHeight="1">
      <c r="A41" s="267">
        <v>52</v>
      </c>
      <c r="B41" s="293" t="s">
        <v>53</v>
      </c>
      <c r="C41" s="269">
        <v>9316</v>
      </c>
      <c r="D41" s="270" t="s">
        <v>190</v>
      </c>
      <c r="E41" s="109" t="s">
        <v>107</v>
      </c>
      <c r="F41" s="109" t="s">
        <v>62</v>
      </c>
      <c r="G41" s="109" t="s">
        <v>40</v>
      </c>
      <c r="H41" s="270">
        <v>25</v>
      </c>
      <c r="I41" s="271">
        <v>1</v>
      </c>
      <c r="J41" s="114">
        <f>ROUNDUP('Tarifa 2026'!J42*(1+Instructions!$AA$9),3)</f>
        <v>17</v>
      </c>
      <c r="K41" s="115">
        <f t="shared" si="3"/>
        <v>17.850000000000001</v>
      </c>
      <c r="L41" s="115" t="str">
        <f t="shared" si="5"/>
        <v>-</v>
      </c>
      <c r="M41" s="84"/>
      <c r="N41" s="74"/>
      <c r="O41"/>
      <c r="P41"/>
      <c r="Q41"/>
      <c r="R41"/>
      <c r="S41"/>
      <c r="T41"/>
      <c r="U41"/>
      <c r="V41"/>
      <c r="W41"/>
      <c r="X41"/>
      <c r="Y41"/>
      <c r="Z41"/>
      <c r="AA41"/>
      <c r="AB41"/>
      <c r="AC41"/>
      <c r="AD41"/>
      <c r="AE41"/>
      <c r="AF41"/>
      <c r="AG41"/>
      <c r="AH41"/>
      <c r="AI41"/>
      <c r="AJ41"/>
      <c r="AK41"/>
      <c r="AL41"/>
      <c r="AM41"/>
      <c r="AN41"/>
      <c r="AO41"/>
      <c r="AP41"/>
      <c r="AQ41"/>
      <c r="AR41"/>
      <c r="AS41"/>
    </row>
    <row r="42" spans="1:45" s="11" customFormat="1" ht="21.75" customHeight="1">
      <c r="A42" s="267"/>
      <c r="B42" s="293"/>
      <c r="C42" s="269"/>
      <c r="D42" s="270"/>
      <c r="E42" s="109" t="s">
        <v>107</v>
      </c>
      <c r="F42" s="109" t="s">
        <v>78</v>
      </c>
      <c r="G42" s="109" t="s">
        <v>40</v>
      </c>
      <c r="H42" s="270"/>
      <c r="I42" s="271"/>
      <c r="J42" s="114">
        <f>ROUNDUP('Tarifa 2026'!J43*(1+Instructions!$AA$9),3)</f>
        <v>17.899999999999999</v>
      </c>
      <c r="K42" s="115">
        <f t="shared" si="3"/>
        <v>18.795000000000002</v>
      </c>
      <c r="L42" s="115" t="str">
        <f t="shared" si="5"/>
        <v>-</v>
      </c>
      <c r="M42" s="73"/>
      <c r="N42" s="74"/>
      <c r="O42"/>
      <c r="P42"/>
      <c r="Q42"/>
      <c r="R42"/>
      <c r="S42"/>
      <c r="T42"/>
      <c r="U42"/>
      <c r="V42"/>
      <c r="W42"/>
      <c r="X42"/>
      <c r="Y42"/>
      <c r="Z42"/>
      <c r="AA42"/>
      <c r="AB42"/>
      <c r="AC42"/>
      <c r="AD42"/>
      <c r="AE42"/>
      <c r="AF42"/>
      <c r="AG42"/>
      <c r="AH42"/>
      <c r="AI42"/>
      <c r="AJ42"/>
      <c r="AK42"/>
      <c r="AL42"/>
      <c r="AM42"/>
      <c r="AN42"/>
      <c r="AO42"/>
      <c r="AP42"/>
      <c r="AQ42"/>
      <c r="AR42"/>
      <c r="AS42"/>
    </row>
    <row r="43" spans="1:45" s="11" customFormat="1" ht="21.75" customHeight="1">
      <c r="A43" s="267"/>
      <c r="B43" s="293"/>
      <c r="C43" s="269"/>
      <c r="D43" s="270"/>
      <c r="E43" s="109" t="s">
        <v>107</v>
      </c>
      <c r="F43" s="109" t="s">
        <v>79</v>
      </c>
      <c r="G43" s="109" t="s">
        <v>40</v>
      </c>
      <c r="H43" s="270"/>
      <c r="I43" s="271"/>
      <c r="J43" s="114">
        <f>ROUNDUP('Tarifa 2026'!J44*(1+Instructions!$AA$9),3)</f>
        <v>19</v>
      </c>
      <c r="K43" s="115">
        <f t="shared" si="3"/>
        <v>19.95</v>
      </c>
      <c r="L43" s="115" t="str">
        <f t="shared" si="5"/>
        <v>-</v>
      </c>
      <c r="M43" s="73"/>
      <c r="N43" s="74"/>
      <c r="O43"/>
      <c r="P43"/>
      <c r="Q43"/>
      <c r="R43"/>
      <c r="S43"/>
      <c r="T43"/>
      <c r="U43"/>
      <c r="V43"/>
      <c r="W43"/>
      <c r="X43"/>
      <c r="Y43"/>
      <c r="Z43"/>
      <c r="AA43"/>
      <c r="AB43"/>
      <c r="AC43"/>
      <c r="AD43"/>
      <c r="AE43"/>
      <c r="AF43"/>
      <c r="AG43"/>
      <c r="AH43"/>
      <c r="AI43"/>
      <c r="AJ43"/>
      <c r="AK43"/>
      <c r="AL43"/>
      <c r="AM43"/>
      <c r="AN43"/>
      <c r="AO43"/>
      <c r="AP43"/>
      <c r="AQ43"/>
      <c r="AR43"/>
      <c r="AS43"/>
    </row>
    <row r="44" spans="1:45" s="11" customFormat="1" ht="21.75" customHeight="1">
      <c r="A44" s="258">
        <v>54</v>
      </c>
      <c r="B44" s="275" t="s">
        <v>53</v>
      </c>
      <c r="C44" s="257">
        <v>9310</v>
      </c>
      <c r="D44" s="252" t="s">
        <v>191</v>
      </c>
      <c r="E44" s="91" t="s">
        <v>107</v>
      </c>
      <c r="F44" s="91" t="s">
        <v>62</v>
      </c>
      <c r="G44" s="91" t="s">
        <v>40</v>
      </c>
      <c r="H44" s="252">
        <v>50</v>
      </c>
      <c r="I44" s="253">
        <v>1</v>
      </c>
      <c r="J44" s="102">
        <f>ROUNDUP('Tarifa 2026'!J45*(1+Instructions!$AA$9),3)</f>
        <v>9.3000000000000007</v>
      </c>
      <c r="K44" s="103">
        <f t="shared" si="3"/>
        <v>9.7650000000000006</v>
      </c>
      <c r="L44" s="103" t="str">
        <f t="shared" si="5"/>
        <v>-</v>
      </c>
      <c r="M44" s="73"/>
      <c r="N44" s="74"/>
      <c r="O44"/>
      <c r="P44"/>
      <c r="Q44"/>
      <c r="R44"/>
      <c r="S44"/>
      <c r="T44"/>
      <c r="U44"/>
      <c r="V44"/>
      <c r="W44"/>
      <c r="X44"/>
      <c r="Y44"/>
      <c r="Z44"/>
      <c r="AA44"/>
      <c r="AB44"/>
      <c r="AC44"/>
      <c r="AD44"/>
      <c r="AE44"/>
      <c r="AF44"/>
      <c r="AG44"/>
      <c r="AH44"/>
      <c r="AI44"/>
      <c r="AJ44"/>
      <c r="AK44"/>
      <c r="AL44"/>
      <c r="AM44"/>
      <c r="AN44"/>
      <c r="AO44"/>
      <c r="AP44"/>
      <c r="AQ44"/>
      <c r="AR44"/>
      <c r="AS44"/>
    </row>
    <row r="45" spans="1:45" s="11" customFormat="1" ht="21.75" customHeight="1">
      <c r="A45" s="258"/>
      <c r="B45" s="275"/>
      <c r="C45" s="257"/>
      <c r="D45" s="252"/>
      <c r="E45" s="91" t="s">
        <v>107</v>
      </c>
      <c r="F45" s="91" t="s">
        <v>78</v>
      </c>
      <c r="G45" s="91" t="s">
        <v>40</v>
      </c>
      <c r="H45" s="252"/>
      <c r="I45" s="253"/>
      <c r="J45" s="102">
        <f>ROUNDUP('Tarifa 2026'!J46*(1+Instructions!$AA$9),3)</f>
        <v>9.8000000000000007</v>
      </c>
      <c r="K45" s="103">
        <f t="shared" si="3"/>
        <v>10.29</v>
      </c>
      <c r="L45" s="103" t="str">
        <f t="shared" si="5"/>
        <v>-</v>
      </c>
      <c r="M45" s="73"/>
      <c r="N45" s="74"/>
      <c r="O45"/>
      <c r="P45"/>
      <c r="Q45"/>
      <c r="R45"/>
      <c r="S45"/>
      <c r="T45"/>
      <c r="U45"/>
      <c r="V45"/>
      <c r="W45"/>
      <c r="X45"/>
      <c r="Y45"/>
      <c r="Z45"/>
      <c r="AA45"/>
      <c r="AB45"/>
      <c r="AC45"/>
      <c r="AD45"/>
      <c r="AE45"/>
      <c r="AF45"/>
      <c r="AG45"/>
      <c r="AH45"/>
      <c r="AI45"/>
      <c r="AJ45"/>
      <c r="AK45"/>
      <c r="AL45"/>
      <c r="AM45"/>
      <c r="AN45"/>
      <c r="AO45"/>
      <c r="AP45"/>
      <c r="AQ45"/>
      <c r="AR45"/>
      <c r="AS45"/>
    </row>
    <row r="46" spans="1:45" s="11" customFormat="1" ht="21.75" customHeight="1">
      <c r="A46" s="258"/>
      <c r="B46" s="275"/>
      <c r="C46" s="257"/>
      <c r="D46" s="252"/>
      <c r="E46" s="91" t="s">
        <v>107</v>
      </c>
      <c r="F46" s="91" t="s">
        <v>79</v>
      </c>
      <c r="G46" s="91" t="s">
        <v>40</v>
      </c>
      <c r="H46" s="252"/>
      <c r="I46" s="253"/>
      <c r="J46" s="102">
        <f>ROUNDUP('Tarifa 2026'!J47*(1+Instructions!$AA$9),3)</f>
        <v>10.4</v>
      </c>
      <c r="K46" s="103">
        <f t="shared" si="3"/>
        <v>10.92</v>
      </c>
      <c r="L46" s="103" t="str">
        <f t="shared" si="5"/>
        <v>-</v>
      </c>
      <c r="M46" s="73"/>
      <c r="N46" s="74"/>
      <c r="O46"/>
      <c r="P46"/>
      <c r="Q46"/>
      <c r="R46"/>
      <c r="S46"/>
      <c r="T46"/>
      <c r="U46"/>
      <c r="V46"/>
      <c r="W46"/>
      <c r="X46"/>
      <c r="Y46"/>
      <c r="Z46"/>
      <c r="AA46"/>
      <c r="AB46"/>
      <c r="AC46"/>
      <c r="AD46"/>
      <c r="AE46"/>
      <c r="AF46"/>
      <c r="AG46"/>
      <c r="AH46"/>
      <c r="AI46"/>
      <c r="AJ46"/>
      <c r="AK46"/>
      <c r="AL46"/>
      <c r="AM46"/>
      <c r="AN46"/>
      <c r="AO46"/>
      <c r="AP46"/>
      <c r="AQ46"/>
      <c r="AR46"/>
      <c r="AS46"/>
    </row>
    <row r="47" spans="1:45" s="11" customFormat="1" ht="21.75" customHeight="1">
      <c r="A47" s="267">
        <v>54</v>
      </c>
      <c r="B47" s="293" t="s">
        <v>53</v>
      </c>
      <c r="C47" s="269">
        <v>9306</v>
      </c>
      <c r="D47" s="270" t="s">
        <v>192</v>
      </c>
      <c r="E47" s="109" t="s">
        <v>107</v>
      </c>
      <c r="F47" s="109" t="s">
        <v>62</v>
      </c>
      <c r="G47" s="109" t="s">
        <v>40</v>
      </c>
      <c r="H47" s="270">
        <v>25</v>
      </c>
      <c r="I47" s="271">
        <v>1</v>
      </c>
      <c r="J47" s="114">
        <f>ROUNDUP('Tarifa 2026'!J48*(1+Instructions!$AA$9),3)</f>
        <v>12.5</v>
      </c>
      <c r="K47" s="115">
        <f t="shared" si="3"/>
        <v>13.125</v>
      </c>
      <c r="L47" s="115" t="str">
        <f t="shared" si="5"/>
        <v>-</v>
      </c>
      <c r="M47" s="73"/>
      <c r="N47" s="74"/>
      <c r="O47"/>
      <c r="P47"/>
      <c r="Q47"/>
      <c r="R47"/>
      <c r="S47"/>
      <c r="T47"/>
      <c r="U47"/>
      <c r="V47"/>
      <c r="W47"/>
      <c r="X47"/>
      <c r="Y47"/>
      <c r="Z47"/>
      <c r="AA47"/>
      <c r="AB47"/>
      <c r="AC47"/>
      <c r="AD47"/>
      <c r="AE47"/>
      <c r="AF47"/>
      <c r="AG47"/>
      <c r="AH47"/>
      <c r="AI47"/>
      <c r="AJ47"/>
      <c r="AK47"/>
      <c r="AL47"/>
      <c r="AM47"/>
      <c r="AN47"/>
      <c r="AO47"/>
      <c r="AP47"/>
      <c r="AQ47"/>
      <c r="AR47"/>
      <c r="AS47"/>
    </row>
    <row r="48" spans="1:45" s="11" customFormat="1" ht="21.75" customHeight="1">
      <c r="A48" s="267"/>
      <c r="B48" s="293"/>
      <c r="C48" s="269"/>
      <c r="D48" s="270"/>
      <c r="E48" s="109" t="s">
        <v>107</v>
      </c>
      <c r="F48" s="109" t="s">
        <v>78</v>
      </c>
      <c r="G48" s="109" t="s">
        <v>40</v>
      </c>
      <c r="H48" s="270"/>
      <c r="I48" s="271"/>
      <c r="J48" s="114">
        <f>ROUNDUP('Tarifa 2026'!J49*(1+Instructions!$AA$9),3)</f>
        <v>13.2</v>
      </c>
      <c r="K48" s="115">
        <f t="shared" si="3"/>
        <v>13.86</v>
      </c>
      <c r="L48" s="115" t="str">
        <f t="shared" si="5"/>
        <v>-</v>
      </c>
      <c r="M48" s="73"/>
      <c r="N48" s="74"/>
      <c r="O48"/>
      <c r="P48"/>
      <c r="Q48"/>
      <c r="R48"/>
      <c r="S48"/>
      <c r="T48"/>
      <c r="U48"/>
      <c r="V48"/>
      <c r="W48"/>
      <c r="X48"/>
      <c r="Y48"/>
      <c r="Z48"/>
      <c r="AA48"/>
      <c r="AB48"/>
      <c r="AC48"/>
      <c r="AD48"/>
      <c r="AE48"/>
      <c r="AF48"/>
      <c r="AG48"/>
      <c r="AH48"/>
      <c r="AI48"/>
      <c r="AJ48"/>
      <c r="AK48"/>
      <c r="AL48"/>
      <c r="AM48"/>
      <c r="AN48"/>
      <c r="AO48"/>
      <c r="AP48"/>
      <c r="AQ48"/>
      <c r="AR48"/>
      <c r="AS48"/>
    </row>
    <row r="49" spans="1:45" s="11" customFormat="1" ht="21.75" customHeight="1">
      <c r="A49" s="267"/>
      <c r="B49" s="293"/>
      <c r="C49" s="269"/>
      <c r="D49" s="270"/>
      <c r="E49" s="109" t="s">
        <v>107</v>
      </c>
      <c r="F49" s="109" t="s">
        <v>79</v>
      </c>
      <c r="G49" s="109" t="s">
        <v>40</v>
      </c>
      <c r="H49" s="270"/>
      <c r="I49" s="271"/>
      <c r="J49" s="114">
        <f>ROUNDUP('Tarifa 2026'!J50*(1+Instructions!$AA$9),3)</f>
        <v>13.9</v>
      </c>
      <c r="K49" s="115">
        <f t="shared" si="3"/>
        <v>14.595000000000001</v>
      </c>
      <c r="L49" s="115" t="str">
        <f t="shared" si="5"/>
        <v>-</v>
      </c>
      <c r="M49" s="73"/>
      <c r="N49" s="74"/>
      <c r="O49"/>
      <c r="P49"/>
      <c r="Q49"/>
      <c r="R49"/>
      <c r="S49"/>
      <c r="T49"/>
      <c r="U49"/>
      <c r="V49"/>
      <c r="W49"/>
      <c r="X49"/>
      <c r="Y49"/>
      <c r="Z49"/>
      <c r="AA49"/>
      <c r="AB49"/>
      <c r="AC49"/>
      <c r="AD49"/>
      <c r="AE49"/>
      <c r="AF49"/>
      <c r="AG49"/>
      <c r="AH49"/>
      <c r="AI49"/>
      <c r="AJ49"/>
      <c r="AK49"/>
      <c r="AL49"/>
      <c r="AM49"/>
      <c r="AN49"/>
      <c r="AO49"/>
      <c r="AP49"/>
      <c r="AQ49"/>
      <c r="AR49"/>
      <c r="AS49"/>
    </row>
    <row r="50" spans="1:45" s="11" customFormat="1" ht="21.75" customHeight="1">
      <c r="A50" s="258">
        <v>55</v>
      </c>
      <c r="B50" s="275" t="s">
        <v>53</v>
      </c>
      <c r="C50" s="257">
        <v>9302</v>
      </c>
      <c r="D50" s="252" t="s">
        <v>193</v>
      </c>
      <c r="E50" s="91" t="s">
        <v>107</v>
      </c>
      <c r="F50" s="91" t="s">
        <v>62</v>
      </c>
      <c r="G50" s="91" t="s">
        <v>40</v>
      </c>
      <c r="H50" s="252">
        <v>50</v>
      </c>
      <c r="I50" s="253">
        <v>1</v>
      </c>
      <c r="J50" s="102">
        <f>ROUNDUP('Tarifa 2026'!J51*(1+Instructions!$AA$9),3)</f>
        <v>9.9</v>
      </c>
      <c r="K50" s="103">
        <f t="shared" si="3"/>
        <v>10.395</v>
      </c>
      <c r="L50" s="103" t="str">
        <f t="shared" si="5"/>
        <v>-</v>
      </c>
      <c r="M50" s="73"/>
      <c r="N50" s="74"/>
      <c r="O50"/>
      <c r="P50"/>
      <c r="Q50"/>
      <c r="R50"/>
      <c r="S50"/>
      <c r="T50"/>
      <c r="U50"/>
      <c r="V50"/>
      <c r="W50"/>
      <c r="X50"/>
      <c r="Y50"/>
      <c r="Z50"/>
      <c r="AA50"/>
      <c r="AB50"/>
      <c r="AC50"/>
      <c r="AD50"/>
      <c r="AE50"/>
      <c r="AF50"/>
      <c r="AG50"/>
      <c r="AH50"/>
      <c r="AI50"/>
      <c r="AJ50"/>
      <c r="AK50"/>
      <c r="AL50"/>
      <c r="AM50"/>
      <c r="AN50"/>
      <c r="AO50"/>
      <c r="AP50"/>
      <c r="AQ50"/>
      <c r="AR50"/>
      <c r="AS50"/>
    </row>
    <row r="51" spans="1:45" s="11" customFormat="1" ht="21.75" customHeight="1">
      <c r="A51" s="258"/>
      <c r="B51" s="275"/>
      <c r="C51" s="257"/>
      <c r="D51" s="252"/>
      <c r="E51" s="91" t="s">
        <v>107</v>
      </c>
      <c r="F51" s="91" t="s">
        <v>78</v>
      </c>
      <c r="G51" s="91" t="s">
        <v>40</v>
      </c>
      <c r="H51" s="252"/>
      <c r="I51" s="253"/>
      <c r="J51" s="102">
        <f>ROUNDUP('Tarifa 2026'!J52*(1+Instructions!$AA$9),3)</f>
        <v>11</v>
      </c>
      <c r="K51" s="103">
        <f t="shared" si="3"/>
        <v>11.55</v>
      </c>
      <c r="L51" s="103" t="str">
        <f t="shared" si="5"/>
        <v>-</v>
      </c>
      <c r="M51" s="73"/>
      <c r="N51" s="74"/>
      <c r="O51"/>
      <c r="P51"/>
      <c r="Q51"/>
      <c r="R51"/>
      <c r="S51"/>
      <c r="T51"/>
      <c r="U51"/>
      <c r="V51"/>
      <c r="W51"/>
      <c r="X51"/>
      <c r="Y51"/>
      <c r="Z51"/>
      <c r="AA51"/>
      <c r="AB51"/>
      <c r="AC51"/>
      <c r="AD51"/>
      <c r="AE51"/>
      <c r="AF51"/>
      <c r="AG51"/>
      <c r="AH51"/>
      <c r="AI51"/>
      <c r="AJ51"/>
      <c r="AK51"/>
      <c r="AL51"/>
      <c r="AM51"/>
      <c r="AN51"/>
      <c r="AO51"/>
      <c r="AP51"/>
      <c r="AQ51"/>
      <c r="AR51"/>
      <c r="AS51"/>
    </row>
    <row r="52" spans="1:45" s="6" customFormat="1" ht="21.75" customHeight="1">
      <c r="A52" s="258"/>
      <c r="B52" s="275"/>
      <c r="C52" s="257"/>
      <c r="D52" s="252"/>
      <c r="E52" s="91" t="s">
        <v>107</v>
      </c>
      <c r="F52" s="91" t="s">
        <v>79</v>
      </c>
      <c r="G52" s="91" t="s">
        <v>40</v>
      </c>
      <c r="H52" s="252"/>
      <c r="I52" s="253"/>
      <c r="J52" s="102">
        <f>ROUNDUP('Tarifa 2026'!J53*(1+Instructions!$AA$9),3)</f>
        <v>11.9</v>
      </c>
      <c r="K52" s="103">
        <f t="shared" si="3"/>
        <v>12.494999999999999</v>
      </c>
      <c r="L52" s="103" t="str">
        <f t="shared" si="5"/>
        <v>-</v>
      </c>
      <c r="M52" s="73"/>
      <c r="N52" s="74"/>
      <c r="O52"/>
      <c r="P52"/>
      <c r="Q52"/>
      <c r="R52"/>
      <c r="S52"/>
      <c r="T52"/>
      <c r="U52"/>
      <c r="V52"/>
      <c r="W52"/>
      <c r="X52"/>
      <c r="Y52"/>
      <c r="Z52"/>
      <c r="AA52"/>
      <c r="AB52"/>
      <c r="AC52"/>
      <c r="AD52"/>
      <c r="AE52"/>
      <c r="AF52"/>
      <c r="AG52"/>
      <c r="AH52"/>
      <c r="AI52"/>
      <c r="AJ52"/>
      <c r="AK52"/>
      <c r="AL52"/>
      <c r="AM52"/>
      <c r="AN52"/>
      <c r="AO52"/>
      <c r="AP52"/>
      <c r="AQ52"/>
      <c r="AR52"/>
      <c r="AS52"/>
    </row>
    <row r="53" spans="1:45" ht="24.95" customHeight="1">
      <c r="A53" s="267">
        <v>56</v>
      </c>
      <c r="B53" s="293" t="s">
        <v>53</v>
      </c>
      <c r="C53" s="269">
        <v>9313</v>
      </c>
      <c r="D53" s="270" t="s">
        <v>194</v>
      </c>
      <c r="E53" s="109" t="s">
        <v>107</v>
      </c>
      <c r="F53" s="109" t="s">
        <v>62</v>
      </c>
      <c r="G53" s="109" t="s">
        <v>40</v>
      </c>
      <c r="H53" s="270">
        <v>20</v>
      </c>
      <c r="I53" s="271">
        <v>1</v>
      </c>
      <c r="J53" s="114">
        <f>ROUNDUP('Tarifa 2026'!J54*(1+Instructions!$AA$9),3)</f>
        <v>27.9</v>
      </c>
      <c r="K53" s="115">
        <f t="shared" si="3"/>
        <v>29.295000000000002</v>
      </c>
      <c r="L53" s="115" t="str">
        <f t="shared" si="5"/>
        <v>-</v>
      </c>
      <c r="M53" s="73"/>
      <c r="N53" s="74"/>
    </row>
    <row r="54" spans="1:45" ht="24.95" customHeight="1">
      <c r="A54" s="267"/>
      <c r="B54" s="293"/>
      <c r="C54" s="269"/>
      <c r="D54" s="270"/>
      <c r="E54" s="109" t="s">
        <v>107</v>
      </c>
      <c r="F54" s="109" t="s">
        <v>78</v>
      </c>
      <c r="G54" s="109" t="s">
        <v>40</v>
      </c>
      <c r="H54" s="270"/>
      <c r="I54" s="271"/>
      <c r="J54" s="114">
        <f>ROUNDUP('Tarifa 2026'!J55*(1+Instructions!$AA$9),3)</f>
        <v>29.3</v>
      </c>
      <c r="K54" s="115">
        <f t="shared" si="3"/>
        <v>30.765000000000001</v>
      </c>
      <c r="L54" s="115" t="str">
        <f t="shared" si="5"/>
        <v>-</v>
      </c>
      <c r="M54" s="73"/>
      <c r="N54" s="74"/>
    </row>
    <row r="55" spans="1:45" ht="24.95" customHeight="1">
      <c r="A55" s="267"/>
      <c r="B55" s="293"/>
      <c r="C55" s="269"/>
      <c r="D55" s="270"/>
      <c r="E55" s="109" t="s">
        <v>107</v>
      </c>
      <c r="F55" s="109" t="s">
        <v>79</v>
      </c>
      <c r="G55" s="109" t="s">
        <v>40</v>
      </c>
      <c r="H55" s="270"/>
      <c r="I55" s="271"/>
      <c r="J55" s="114">
        <f>ROUNDUP('Tarifa 2026'!J56*(1+Instructions!$AA$9),3)</f>
        <v>30.8</v>
      </c>
      <c r="K55" s="115">
        <f t="shared" si="3"/>
        <v>32.340000000000003</v>
      </c>
      <c r="L55" s="115" t="str">
        <f t="shared" si="5"/>
        <v>-</v>
      </c>
      <c r="M55" s="73"/>
      <c r="N55" s="74"/>
    </row>
    <row r="56" spans="1:45" ht="24.95" customHeight="1">
      <c r="A56" s="258">
        <v>58</v>
      </c>
      <c r="B56" s="275" t="s">
        <v>53</v>
      </c>
      <c r="C56" s="257">
        <v>9303</v>
      </c>
      <c r="D56" s="252" t="s">
        <v>195</v>
      </c>
      <c r="E56" s="91" t="s">
        <v>107</v>
      </c>
      <c r="F56" s="91" t="s">
        <v>62</v>
      </c>
      <c r="G56" s="91" t="s">
        <v>40</v>
      </c>
      <c r="H56" s="252">
        <v>15</v>
      </c>
      <c r="I56" s="253">
        <v>1</v>
      </c>
      <c r="J56" s="102">
        <f>ROUNDUP('Tarifa 2026'!J57*(1+Instructions!$AA$9),3)</f>
        <v>43.5</v>
      </c>
      <c r="K56" s="103">
        <f t="shared" si="3"/>
        <v>45.674999999999997</v>
      </c>
      <c r="L56" s="103" t="str">
        <f t="shared" si="5"/>
        <v>-</v>
      </c>
      <c r="M56" s="73"/>
      <c r="N56" s="74"/>
    </row>
    <row r="57" spans="1:45" ht="24.95" customHeight="1">
      <c r="A57" s="258"/>
      <c r="B57" s="275"/>
      <c r="C57" s="257"/>
      <c r="D57" s="252"/>
      <c r="E57" s="91" t="s">
        <v>107</v>
      </c>
      <c r="F57" s="91" t="s">
        <v>78</v>
      </c>
      <c r="G57" s="91" t="s">
        <v>40</v>
      </c>
      <c r="H57" s="252"/>
      <c r="I57" s="253"/>
      <c r="J57" s="102">
        <f>ROUNDUP('Tarifa 2026'!J58*(1+Instructions!$AA$9),3)</f>
        <v>45.9</v>
      </c>
      <c r="K57" s="103">
        <f t="shared" si="3"/>
        <v>48.195</v>
      </c>
      <c r="L57" s="103" t="str">
        <f t="shared" si="5"/>
        <v>-</v>
      </c>
      <c r="M57" s="73"/>
      <c r="N57" s="74"/>
    </row>
    <row r="58" spans="1:45" s="51" customFormat="1" ht="24.95" customHeight="1">
      <c r="A58" s="258"/>
      <c r="B58" s="275"/>
      <c r="C58" s="257"/>
      <c r="D58" s="252"/>
      <c r="E58" s="91" t="s">
        <v>107</v>
      </c>
      <c r="F58" s="91" t="s">
        <v>79</v>
      </c>
      <c r="G58" s="91" t="s">
        <v>40</v>
      </c>
      <c r="H58" s="252"/>
      <c r="I58" s="253"/>
      <c r="J58" s="102">
        <f>ROUNDUP('Tarifa 2026'!J59*(1+Instructions!$AA$9),3)</f>
        <v>48</v>
      </c>
      <c r="K58" s="103">
        <f t="shared" si="3"/>
        <v>50.4</v>
      </c>
      <c r="L58" s="103" t="str">
        <f t="shared" si="5"/>
        <v>-</v>
      </c>
      <c r="M58" s="73"/>
      <c r="N58" s="74"/>
      <c r="O58"/>
      <c r="P58"/>
      <c r="Q58"/>
      <c r="R58"/>
    </row>
    <row r="59" spans="1:45" s="51" customFormat="1" ht="24.95" customHeight="1">
      <c r="A59" s="267">
        <v>58</v>
      </c>
      <c r="B59" s="293" t="s">
        <v>53</v>
      </c>
      <c r="C59" s="269">
        <v>9314</v>
      </c>
      <c r="D59" s="270" t="s">
        <v>196</v>
      </c>
      <c r="E59" s="109" t="s">
        <v>107</v>
      </c>
      <c r="F59" s="109" t="s">
        <v>62</v>
      </c>
      <c r="G59" s="109" t="s">
        <v>40</v>
      </c>
      <c r="H59" s="270">
        <v>25</v>
      </c>
      <c r="I59" s="271">
        <v>1</v>
      </c>
      <c r="J59" s="114">
        <f>ROUNDUP('Tarifa 2026'!J60*(1+Instructions!$AA$9),3)</f>
        <v>21.9</v>
      </c>
      <c r="K59" s="115">
        <f t="shared" si="3"/>
        <v>22.995000000000001</v>
      </c>
      <c r="L59" s="115" t="str">
        <f t="shared" si="5"/>
        <v>-</v>
      </c>
      <c r="M59" s="73"/>
      <c r="N59" s="74"/>
      <c r="O59"/>
      <c r="P59"/>
      <c r="Q59"/>
      <c r="R59"/>
    </row>
    <row r="60" spans="1:45" s="51" customFormat="1" ht="24.95" customHeight="1">
      <c r="A60" s="267"/>
      <c r="B60" s="293"/>
      <c r="C60" s="269"/>
      <c r="D60" s="270"/>
      <c r="E60" s="109" t="s">
        <v>107</v>
      </c>
      <c r="F60" s="109" t="s">
        <v>78</v>
      </c>
      <c r="G60" s="109" t="s">
        <v>40</v>
      </c>
      <c r="H60" s="270"/>
      <c r="I60" s="271"/>
      <c r="J60" s="114">
        <f>ROUNDUP('Tarifa 2026'!J61*(1+Instructions!$AA$9),3)</f>
        <v>23</v>
      </c>
      <c r="K60" s="115">
        <f t="shared" si="3"/>
        <v>24.15</v>
      </c>
      <c r="L60" s="115" t="str">
        <f t="shared" si="5"/>
        <v>-</v>
      </c>
      <c r="M60" s="73"/>
      <c r="N60" s="74"/>
      <c r="O60"/>
      <c r="P60"/>
      <c r="Q60"/>
      <c r="R60"/>
    </row>
    <row r="61" spans="1:45" s="51" customFormat="1" ht="24.95" customHeight="1">
      <c r="A61" s="267"/>
      <c r="B61" s="293"/>
      <c r="C61" s="269"/>
      <c r="D61" s="270"/>
      <c r="E61" s="109" t="s">
        <v>107</v>
      </c>
      <c r="F61" s="109" t="s">
        <v>79</v>
      </c>
      <c r="G61" s="109" t="s">
        <v>40</v>
      </c>
      <c r="H61" s="270"/>
      <c r="I61" s="271"/>
      <c r="J61" s="114">
        <f>ROUNDUP('Tarifa 2026'!J62*(1+Instructions!$AA$9),3)</f>
        <v>24</v>
      </c>
      <c r="K61" s="115">
        <f t="shared" si="3"/>
        <v>25.2</v>
      </c>
      <c r="L61" s="115" t="str">
        <f t="shared" si="5"/>
        <v>-</v>
      </c>
      <c r="M61" s="73"/>
      <c r="N61" s="74"/>
      <c r="O61"/>
      <c r="P61"/>
      <c r="Q61"/>
      <c r="R61"/>
    </row>
    <row r="62" spans="1:45" s="6" customFormat="1" ht="21.75" customHeight="1">
      <c r="A62" s="258">
        <v>59</v>
      </c>
      <c r="B62" s="275" t="s">
        <v>53</v>
      </c>
      <c r="C62" s="257">
        <v>9305</v>
      </c>
      <c r="D62" s="252" t="s">
        <v>197</v>
      </c>
      <c r="E62" s="91" t="s">
        <v>107</v>
      </c>
      <c r="F62" s="91" t="s">
        <v>62</v>
      </c>
      <c r="G62" s="91" t="s">
        <v>40</v>
      </c>
      <c r="H62" s="252">
        <v>15</v>
      </c>
      <c r="I62" s="253">
        <v>1</v>
      </c>
      <c r="J62" s="102">
        <f>ROUNDUP('Tarifa 2026'!J63*(1+Instructions!$AA$9),3)</f>
        <v>23.7</v>
      </c>
      <c r="K62" s="103">
        <f t="shared" si="3"/>
        <v>24.885000000000002</v>
      </c>
      <c r="L62" s="103" t="str">
        <f t="shared" si="5"/>
        <v>-</v>
      </c>
      <c r="M62" s="73"/>
      <c r="N62" s="74"/>
      <c r="O62"/>
      <c r="P62"/>
      <c r="Q62"/>
      <c r="R62"/>
      <c r="S62"/>
      <c r="T62"/>
      <c r="U62"/>
      <c r="V62"/>
      <c r="W62"/>
      <c r="X62"/>
      <c r="Y62"/>
      <c r="Z62"/>
      <c r="AA62"/>
      <c r="AB62"/>
      <c r="AC62"/>
      <c r="AD62"/>
      <c r="AE62"/>
      <c r="AF62"/>
      <c r="AG62"/>
      <c r="AH62"/>
      <c r="AI62"/>
      <c r="AJ62"/>
      <c r="AK62"/>
      <c r="AL62"/>
      <c r="AM62"/>
      <c r="AN62"/>
      <c r="AO62"/>
      <c r="AP62"/>
      <c r="AQ62"/>
      <c r="AR62"/>
      <c r="AS62"/>
    </row>
    <row r="63" spans="1:45" s="6" customFormat="1" ht="21.75" customHeight="1">
      <c r="A63" s="258"/>
      <c r="B63" s="275"/>
      <c r="C63" s="257"/>
      <c r="D63" s="252"/>
      <c r="E63" s="91" t="s">
        <v>107</v>
      </c>
      <c r="F63" s="91" t="s">
        <v>78</v>
      </c>
      <c r="G63" s="91" t="s">
        <v>40</v>
      </c>
      <c r="H63" s="252"/>
      <c r="I63" s="253"/>
      <c r="J63" s="102">
        <f>ROUNDUP('Tarifa 2026'!J64*(1+Instructions!$AA$9),3)</f>
        <v>24.9</v>
      </c>
      <c r="K63" s="103">
        <f t="shared" si="3"/>
        <v>26.145</v>
      </c>
      <c r="L63" s="103" t="str">
        <f t="shared" si="5"/>
        <v>-</v>
      </c>
      <c r="M63" s="73"/>
      <c r="N63" s="74"/>
      <c r="O63"/>
      <c r="P63"/>
      <c r="Q63"/>
      <c r="R63"/>
      <c r="S63"/>
      <c r="T63"/>
      <c r="U63"/>
      <c r="V63"/>
      <c r="W63"/>
      <c r="X63"/>
      <c r="Y63"/>
      <c r="Z63"/>
      <c r="AA63"/>
      <c r="AB63"/>
      <c r="AC63"/>
      <c r="AD63"/>
      <c r="AE63"/>
      <c r="AF63"/>
      <c r="AG63"/>
      <c r="AH63"/>
      <c r="AI63"/>
      <c r="AJ63"/>
      <c r="AK63"/>
      <c r="AL63"/>
      <c r="AM63"/>
      <c r="AN63"/>
      <c r="AO63"/>
      <c r="AP63"/>
      <c r="AQ63"/>
      <c r="AR63"/>
      <c r="AS63"/>
    </row>
    <row r="64" spans="1:45" ht="24.95" customHeight="1">
      <c r="A64" s="258"/>
      <c r="B64" s="275"/>
      <c r="C64" s="257"/>
      <c r="D64" s="252"/>
      <c r="E64" s="91" t="s">
        <v>107</v>
      </c>
      <c r="F64" s="91" t="s">
        <v>79</v>
      </c>
      <c r="G64" s="91" t="s">
        <v>40</v>
      </c>
      <c r="H64" s="252"/>
      <c r="I64" s="253"/>
      <c r="J64" s="102">
        <f>ROUNDUP('Tarifa 2026'!J65*(1+Instructions!$AA$9),3)</f>
        <v>26.2</v>
      </c>
      <c r="K64" s="103">
        <f t="shared" si="3"/>
        <v>27.51</v>
      </c>
      <c r="L64" s="103" t="str">
        <f t="shared" si="5"/>
        <v>-</v>
      </c>
      <c r="M64" s="73"/>
      <c r="N64" s="74"/>
    </row>
    <row r="65" spans="1:14" ht="24.95" customHeight="1">
      <c r="A65" s="267">
        <v>61</v>
      </c>
      <c r="B65" s="293" t="s">
        <v>53</v>
      </c>
      <c r="C65" s="269">
        <v>9304</v>
      </c>
      <c r="D65" s="270" t="s">
        <v>199</v>
      </c>
      <c r="E65" s="109" t="s">
        <v>107</v>
      </c>
      <c r="F65" s="109" t="s">
        <v>62</v>
      </c>
      <c r="G65" s="109" t="s">
        <v>40</v>
      </c>
      <c r="H65" s="270">
        <v>10</v>
      </c>
      <c r="I65" s="271">
        <v>1</v>
      </c>
      <c r="J65" s="114">
        <f>ROUNDUP('Tarifa 2026'!J66*(1+Instructions!$AA$9),3)</f>
        <v>47.9</v>
      </c>
      <c r="K65" s="115">
        <f t="shared" si="3"/>
        <v>50.295000000000002</v>
      </c>
      <c r="L65" s="115" t="str">
        <f t="shared" si="5"/>
        <v>-</v>
      </c>
      <c r="M65" s="73"/>
      <c r="N65" s="74"/>
    </row>
    <row r="66" spans="1:14" ht="24.95" customHeight="1">
      <c r="A66" s="267"/>
      <c r="B66" s="293"/>
      <c r="C66" s="269"/>
      <c r="D66" s="270"/>
      <c r="E66" s="109" t="s">
        <v>107</v>
      </c>
      <c r="F66" s="109" t="s">
        <v>78</v>
      </c>
      <c r="G66" s="109" t="s">
        <v>40</v>
      </c>
      <c r="H66" s="270"/>
      <c r="I66" s="271"/>
      <c r="J66" s="114">
        <f>ROUNDUP('Tarifa 2026'!J67*(1+Instructions!$AA$9),3)</f>
        <v>50.3</v>
      </c>
      <c r="K66" s="115">
        <f t="shared" si="3"/>
        <v>52.814999999999998</v>
      </c>
      <c r="L66" s="115" t="str">
        <f t="shared" si="5"/>
        <v>-</v>
      </c>
      <c r="M66" s="73"/>
      <c r="N66" s="74"/>
    </row>
    <row r="67" spans="1:14" ht="24.95" customHeight="1">
      <c r="A67" s="267"/>
      <c r="B67" s="293"/>
      <c r="C67" s="269"/>
      <c r="D67" s="270"/>
      <c r="E67" s="109" t="s">
        <v>107</v>
      </c>
      <c r="F67" s="109" t="s">
        <v>79</v>
      </c>
      <c r="G67" s="109" t="s">
        <v>40</v>
      </c>
      <c r="H67" s="270"/>
      <c r="I67" s="271"/>
      <c r="J67" s="114">
        <f>ROUNDUP('Tarifa 2026'!J68*(1+Instructions!$AA$9),3)</f>
        <v>53</v>
      </c>
      <c r="K67" s="115">
        <f t="shared" si="3"/>
        <v>55.65</v>
      </c>
      <c r="L67" s="115" t="str">
        <f t="shared" si="5"/>
        <v>-</v>
      </c>
      <c r="M67" s="73"/>
      <c r="N67" s="74"/>
    </row>
    <row r="68" spans="1:14" ht="24.95" customHeight="1">
      <c r="A68" s="258">
        <v>61</v>
      </c>
      <c r="B68" s="275" t="s">
        <v>53</v>
      </c>
      <c r="C68" s="257">
        <v>9320</v>
      </c>
      <c r="D68" s="252" t="s">
        <v>198</v>
      </c>
      <c r="E68" s="91" t="s">
        <v>107</v>
      </c>
      <c r="F68" s="91" t="s">
        <v>62</v>
      </c>
      <c r="G68" s="91" t="s">
        <v>40</v>
      </c>
      <c r="H68" s="252">
        <v>10</v>
      </c>
      <c r="I68" s="253">
        <v>1</v>
      </c>
      <c r="J68" s="102">
        <f>ROUNDUP('Tarifa 2026'!J69*(1+Instructions!$AA$9),3)</f>
        <v>43.9</v>
      </c>
      <c r="K68" s="103">
        <f t="shared" si="3"/>
        <v>46.094999999999999</v>
      </c>
      <c r="L68" s="103" t="str">
        <f t="shared" si="5"/>
        <v>-</v>
      </c>
      <c r="M68" s="73"/>
      <c r="N68" s="74"/>
    </row>
    <row r="69" spans="1:14" ht="24.95" customHeight="1">
      <c r="A69" s="258"/>
      <c r="B69" s="275"/>
      <c r="C69" s="257"/>
      <c r="D69" s="252"/>
      <c r="E69" s="91" t="s">
        <v>107</v>
      </c>
      <c r="F69" s="91" t="s">
        <v>78</v>
      </c>
      <c r="G69" s="91" t="s">
        <v>40</v>
      </c>
      <c r="H69" s="252"/>
      <c r="I69" s="253"/>
      <c r="J69" s="102">
        <f>ROUNDUP('Tarifa 2026'!J70*(1+Instructions!$AA$9),3)</f>
        <v>46.2</v>
      </c>
      <c r="K69" s="103">
        <f t="shared" si="3"/>
        <v>48.51</v>
      </c>
      <c r="L69" s="103" t="str">
        <f t="shared" si="5"/>
        <v>-</v>
      </c>
      <c r="M69" s="73"/>
      <c r="N69" s="74"/>
    </row>
    <row r="70" spans="1:14" ht="24.95" customHeight="1">
      <c r="A70" s="258"/>
      <c r="B70" s="275"/>
      <c r="C70" s="257"/>
      <c r="D70" s="252"/>
      <c r="E70" s="91" t="s">
        <v>107</v>
      </c>
      <c r="F70" s="91" t="s">
        <v>79</v>
      </c>
      <c r="G70" s="91" t="s">
        <v>40</v>
      </c>
      <c r="H70" s="252"/>
      <c r="I70" s="253"/>
      <c r="J70" s="102">
        <f>ROUNDUP('Tarifa 2026'!J71*(1+Instructions!$AA$9),3)</f>
        <v>48.6</v>
      </c>
      <c r="K70" s="103">
        <f t="shared" si="3"/>
        <v>51.03</v>
      </c>
      <c r="L70" s="103" t="str">
        <f t="shared" si="5"/>
        <v>-</v>
      </c>
      <c r="M70" s="73"/>
      <c r="N70" s="74"/>
    </row>
    <row r="71" spans="1:14" ht="24.95" customHeight="1">
      <c r="A71" s="267">
        <v>62</v>
      </c>
      <c r="B71" s="293" t="s">
        <v>53</v>
      </c>
      <c r="C71" s="269">
        <v>9323</v>
      </c>
      <c r="D71" s="270" t="s">
        <v>200</v>
      </c>
      <c r="E71" s="109" t="s">
        <v>107</v>
      </c>
      <c r="F71" s="109" t="s">
        <v>201</v>
      </c>
      <c r="G71" s="109" t="s">
        <v>40</v>
      </c>
      <c r="H71" s="270">
        <v>50</v>
      </c>
      <c r="I71" s="271">
        <v>1</v>
      </c>
      <c r="J71" s="114">
        <f>ROUNDUP('Tarifa 2026'!J72*(1+Instructions!$AA$9),3)</f>
        <v>21.9</v>
      </c>
      <c r="K71" s="115">
        <f t="shared" si="3"/>
        <v>22.995000000000001</v>
      </c>
      <c r="L71" s="115" t="str">
        <f t="shared" si="5"/>
        <v>-</v>
      </c>
      <c r="M71" s="73"/>
      <c r="N71" s="74"/>
    </row>
    <row r="72" spans="1:14" ht="24.95" customHeight="1">
      <c r="A72" s="267"/>
      <c r="B72" s="293"/>
      <c r="C72" s="269"/>
      <c r="D72" s="270"/>
      <c r="E72" s="109" t="s">
        <v>107</v>
      </c>
      <c r="F72" s="109" t="s">
        <v>78</v>
      </c>
      <c r="G72" s="109" t="s">
        <v>40</v>
      </c>
      <c r="H72" s="270"/>
      <c r="I72" s="271"/>
      <c r="J72" s="114">
        <f>ROUNDUP('Tarifa 2026'!J73*(1+Instructions!$AA$9),3)</f>
        <v>23</v>
      </c>
      <c r="K72" s="115">
        <f t="shared" si="3"/>
        <v>24.15</v>
      </c>
      <c r="L72" s="115" t="str">
        <f t="shared" si="5"/>
        <v>-</v>
      </c>
      <c r="M72" s="73"/>
      <c r="N72" s="74"/>
    </row>
    <row r="73" spans="1:14" ht="24.95" customHeight="1">
      <c r="A73" s="111">
        <v>62</v>
      </c>
      <c r="B73" s="66" t="s">
        <v>53</v>
      </c>
      <c r="C73" s="112">
        <v>9311</v>
      </c>
      <c r="D73" s="91" t="s">
        <v>203</v>
      </c>
      <c r="E73" s="91" t="s">
        <v>107</v>
      </c>
      <c r="F73" s="91" t="s">
        <v>201</v>
      </c>
      <c r="G73" s="91" t="s">
        <v>40</v>
      </c>
      <c r="H73" s="91">
        <v>50</v>
      </c>
      <c r="I73" s="113">
        <v>1</v>
      </c>
      <c r="J73" s="102">
        <f>ROUNDUP('Tarifa 2026'!J74*(1+Instructions!$AA$9),3)</f>
        <v>5.9</v>
      </c>
      <c r="K73" s="103">
        <f t="shared" si="3"/>
        <v>6.1950000000000003</v>
      </c>
      <c r="L73" s="103" t="str">
        <f t="shared" si="5"/>
        <v>-</v>
      </c>
      <c r="M73" s="73"/>
      <c r="N73" s="74"/>
    </row>
    <row r="74" spans="1:14" ht="24.95" customHeight="1">
      <c r="A74" s="106">
        <v>63</v>
      </c>
      <c r="B74" s="107" t="s">
        <v>53</v>
      </c>
      <c r="C74" s="108">
        <v>5063</v>
      </c>
      <c r="D74" s="109" t="s">
        <v>202</v>
      </c>
      <c r="E74" s="109" t="s">
        <v>107</v>
      </c>
      <c r="F74" s="109" t="s">
        <v>201</v>
      </c>
      <c r="G74" s="109" t="s">
        <v>40</v>
      </c>
      <c r="H74" s="109">
        <v>100</v>
      </c>
      <c r="I74" s="110">
        <v>1</v>
      </c>
      <c r="J74" s="114">
        <f>ROUNDUP('Tarifa 2026'!J75*(1+Instructions!$AA$9),3)</f>
        <v>2.76</v>
      </c>
      <c r="K74" s="115">
        <f t="shared" si="3"/>
        <v>2.8980000000000001</v>
      </c>
      <c r="L74" s="115" t="str">
        <f t="shared" si="5"/>
        <v>-</v>
      </c>
      <c r="M74" s="73"/>
      <c r="N74" s="74"/>
    </row>
    <row r="75" spans="1:14" ht="24.95" customHeight="1">
      <c r="A75" s="258">
        <v>65</v>
      </c>
      <c r="B75" s="255" t="s">
        <v>164</v>
      </c>
      <c r="C75" s="257">
        <v>9328</v>
      </c>
      <c r="D75" s="252" t="s">
        <v>304</v>
      </c>
      <c r="E75" s="91" t="s">
        <v>107</v>
      </c>
      <c r="F75" s="91" t="s">
        <v>62</v>
      </c>
      <c r="G75" s="91" t="s">
        <v>40</v>
      </c>
      <c r="H75" s="252">
        <v>50</v>
      </c>
      <c r="I75" s="253">
        <v>1</v>
      </c>
      <c r="J75" s="102">
        <f>ROUNDUP('Tarifa 2026'!J76*(1+Instructions!$AA$9),3)</f>
        <v>17</v>
      </c>
      <c r="K75" s="103">
        <f t="shared" si="3"/>
        <v>17.850000000000001</v>
      </c>
      <c r="L75" s="103" t="str">
        <f t="shared" si="5"/>
        <v>-</v>
      </c>
      <c r="M75" s="73"/>
      <c r="N75" s="74"/>
    </row>
    <row r="76" spans="1:14" ht="24.95" customHeight="1">
      <c r="A76" s="258"/>
      <c r="B76" s="255"/>
      <c r="C76" s="257"/>
      <c r="D76" s="252"/>
      <c r="E76" s="91" t="s">
        <v>107</v>
      </c>
      <c r="F76" s="91" t="s">
        <v>78</v>
      </c>
      <c r="G76" s="91" t="s">
        <v>40</v>
      </c>
      <c r="H76" s="252"/>
      <c r="I76" s="253"/>
      <c r="J76" s="102">
        <f>ROUNDUP('Tarifa 2026'!J77*(1+Instructions!$AA$9),3)</f>
        <v>17.899999999999999</v>
      </c>
      <c r="K76" s="103">
        <f t="shared" si="3"/>
        <v>18.795000000000002</v>
      </c>
      <c r="L76" s="103" t="str">
        <f t="shared" si="5"/>
        <v>-</v>
      </c>
      <c r="M76" s="73"/>
      <c r="N76" s="74"/>
    </row>
    <row r="77" spans="1:14" ht="24.95" customHeight="1">
      <c r="A77" s="106">
        <v>67</v>
      </c>
      <c r="B77" s="107" t="s">
        <v>53</v>
      </c>
      <c r="C77" s="108">
        <v>9307</v>
      </c>
      <c r="D77" s="109" t="s">
        <v>204</v>
      </c>
      <c r="E77" s="109" t="s">
        <v>107</v>
      </c>
      <c r="F77" s="109" t="s">
        <v>147</v>
      </c>
      <c r="G77" s="109" t="s">
        <v>40</v>
      </c>
      <c r="H77" s="109">
        <v>25</v>
      </c>
      <c r="I77" s="110">
        <v>1</v>
      </c>
      <c r="J77" s="114">
        <f>ROUNDUP('Tarifa 2026'!J78*(1+Instructions!$AA$9),3)</f>
        <v>17.2</v>
      </c>
      <c r="K77" s="115">
        <f t="shared" si="3"/>
        <v>18.059999999999999</v>
      </c>
      <c r="L77" s="115" t="str">
        <f t="shared" si="5"/>
        <v>-</v>
      </c>
      <c r="M77" s="73"/>
      <c r="N77" s="74"/>
    </row>
    <row r="78" spans="1:14" ht="24.95" customHeight="1">
      <c r="A78" s="111">
        <v>67</v>
      </c>
      <c r="B78" s="66" t="s">
        <v>53</v>
      </c>
      <c r="C78" s="112">
        <v>9309</v>
      </c>
      <c r="D78" s="91" t="s">
        <v>205</v>
      </c>
      <c r="E78" s="91" t="s">
        <v>107</v>
      </c>
      <c r="F78" s="91" t="s">
        <v>147</v>
      </c>
      <c r="G78" s="91" t="s">
        <v>40</v>
      </c>
      <c r="H78" s="91">
        <v>25</v>
      </c>
      <c r="I78" s="113">
        <v>1</v>
      </c>
      <c r="J78" s="102">
        <f>ROUNDUP('Tarifa 2026'!J79*(1+Instructions!$AA$9),3)</f>
        <v>19.899999999999999</v>
      </c>
      <c r="K78" s="103">
        <f t="shared" si="3"/>
        <v>20.895</v>
      </c>
      <c r="L78" s="103" t="str">
        <f t="shared" si="5"/>
        <v>-</v>
      </c>
      <c r="M78" s="73"/>
      <c r="N78" s="74"/>
    </row>
    <row r="79" spans="1:14" ht="24.95" customHeight="1">
      <c r="A79" s="106">
        <v>68</v>
      </c>
      <c r="B79" s="107" t="s">
        <v>53</v>
      </c>
      <c r="C79" s="108">
        <v>9321</v>
      </c>
      <c r="D79" s="109" t="s">
        <v>206</v>
      </c>
      <c r="E79" s="109" t="s">
        <v>107</v>
      </c>
      <c r="F79" s="109" t="s">
        <v>147</v>
      </c>
      <c r="G79" s="109" t="s">
        <v>40</v>
      </c>
      <c r="H79" s="109">
        <v>20</v>
      </c>
      <c r="I79" s="110">
        <v>1</v>
      </c>
      <c r="J79" s="114">
        <f>ROUNDUP('Tarifa 2026'!J80*(1+Instructions!$AA$9),3)</f>
        <v>27.3</v>
      </c>
      <c r="K79" s="115">
        <f t="shared" si="3"/>
        <v>28.664999999999999</v>
      </c>
      <c r="L79" s="115" t="str">
        <f t="shared" si="5"/>
        <v>-</v>
      </c>
      <c r="M79" s="73"/>
      <c r="N79" s="74"/>
    </row>
    <row r="80" spans="1:14" ht="24.95" customHeight="1">
      <c r="A80" s="111">
        <v>68</v>
      </c>
      <c r="B80" s="66" t="s">
        <v>53</v>
      </c>
      <c r="C80" s="112">
        <v>9312</v>
      </c>
      <c r="D80" s="91" t="s">
        <v>207</v>
      </c>
      <c r="E80" s="91" t="s">
        <v>107</v>
      </c>
      <c r="F80" s="91" t="s">
        <v>147</v>
      </c>
      <c r="G80" s="91" t="s">
        <v>40</v>
      </c>
      <c r="H80" s="91">
        <v>25</v>
      </c>
      <c r="I80" s="113">
        <v>1</v>
      </c>
      <c r="J80" s="102">
        <f>ROUNDUP('Tarifa 2026'!J81*(1+Instructions!$AA$9),3)</f>
        <v>25.9</v>
      </c>
      <c r="K80" s="103">
        <f t="shared" si="3"/>
        <v>27.195</v>
      </c>
      <c r="L80" s="103" t="str">
        <f t="shared" si="5"/>
        <v>-</v>
      </c>
      <c r="M80" s="73"/>
      <c r="N80" s="74"/>
    </row>
    <row r="81" spans="1:45" ht="24.95" customHeight="1">
      <c r="A81" s="106">
        <v>71</v>
      </c>
      <c r="B81" s="107" t="s">
        <v>53</v>
      </c>
      <c r="C81" s="108">
        <v>9301</v>
      </c>
      <c r="D81" s="109" t="s">
        <v>209</v>
      </c>
      <c r="E81" s="109" t="s">
        <v>107</v>
      </c>
      <c r="F81" s="109" t="s">
        <v>147</v>
      </c>
      <c r="G81" s="109" t="s">
        <v>40</v>
      </c>
      <c r="H81" s="109">
        <v>25</v>
      </c>
      <c r="I81" s="110">
        <v>1</v>
      </c>
      <c r="J81" s="114">
        <f>ROUNDUP('Tarifa 2026'!J82*(1+Instructions!$AA$9),3)</f>
        <v>18.399999999999999</v>
      </c>
      <c r="K81" s="115">
        <f t="shared" si="3"/>
        <v>19.32</v>
      </c>
      <c r="L81" s="115" t="str">
        <f t="shared" si="5"/>
        <v>-</v>
      </c>
      <c r="M81" s="73"/>
      <c r="N81" s="74"/>
    </row>
    <row r="82" spans="1:45" ht="24.95" customHeight="1">
      <c r="A82" s="111">
        <v>71</v>
      </c>
      <c r="B82" s="66" t="s">
        <v>53</v>
      </c>
      <c r="C82" s="112">
        <v>9300</v>
      </c>
      <c r="D82" s="91" t="s">
        <v>208</v>
      </c>
      <c r="E82" s="91" t="s">
        <v>107</v>
      </c>
      <c r="F82" s="91" t="s">
        <v>147</v>
      </c>
      <c r="G82" s="91" t="s">
        <v>40</v>
      </c>
      <c r="H82" s="91">
        <v>25</v>
      </c>
      <c r="I82" s="113">
        <v>1</v>
      </c>
      <c r="J82" s="102">
        <f>ROUNDUP('Tarifa 2026'!J83*(1+Instructions!$AA$9),3)</f>
        <v>17.899999999999999</v>
      </c>
      <c r="K82" s="103">
        <f t="shared" si="3"/>
        <v>18.795000000000002</v>
      </c>
      <c r="L82" s="103" t="str">
        <f t="shared" si="5"/>
        <v>-</v>
      </c>
      <c r="M82" s="73"/>
      <c r="N82" s="74"/>
    </row>
    <row r="83" spans="1:45" ht="24.95" customHeight="1">
      <c r="A83" s="261" t="s">
        <v>210</v>
      </c>
      <c r="B83" s="261"/>
      <c r="C83" s="261"/>
      <c r="D83" s="261"/>
      <c r="E83" s="261"/>
      <c r="F83" s="261"/>
      <c r="G83" s="261"/>
      <c r="H83" s="261"/>
      <c r="I83" s="261"/>
      <c r="J83" s="261"/>
      <c r="K83" s="261"/>
      <c r="L83" s="261"/>
      <c r="M83" s="73"/>
      <c r="N83" s="74"/>
    </row>
    <row r="84" spans="1:45" s="6" customFormat="1" ht="21.75" customHeight="1">
      <c r="A84" s="272">
        <v>79</v>
      </c>
      <c r="B84" s="284" t="s">
        <v>53</v>
      </c>
      <c r="C84" s="274">
        <v>9401</v>
      </c>
      <c r="D84" s="259" t="s">
        <v>211</v>
      </c>
      <c r="E84" s="95" t="s">
        <v>107</v>
      </c>
      <c r="F84" s="95" t="s">
        <v>62</v>
      </c>
      <c r="G84" s="95" t="s">
        <v>40</v>
      </c>
      <c r="H84" s="259">
        <v>50</v>
      </c>
      <c r="I84" s="260">
        <v>1</v>
      </c>
      <c r="J84" s="102">
        <f>ROUNDUP('Tarifa 2026'!J85*(1+Instructions!$AA$9),3)</f>
        <v>39.9</v>
      </c>
      <c r="K84" s="103">
        <f t="shared" si="2"/>
        <v>41.895000000000003</v>
      </c>
      <c r="L84" s="103" t="str">
        <f>IF(I84=1,"-",IF(AND(I84="",L76="-"),"-",ROUNDUP((J84*0.2)+J84,3)))</f>
        <v>-</v>
      </c>
      <c r="M84" s="73"/>
      <c r="N84" s="74"/>
      <c r="O84"/>
      <c r="P84"/>
      <c r="Q84"/>
      <c r="R84"/>
      <c r="S84"/>
      <c r="T84"/>
      <c r="U84"/>
      <c r="V84"/>
      <c r="W84"/>
      <c r="X84"/>
      <c r="Y84"/>
      <c r="Z84"/>
      <c r="AA84"/>
      <c r="AB84"/>
      <c r="AC84"/>
      <c r="AD84"/>
      <c r="AE84"/>
      <c r="AF84"/>
      <c r="AG84"/>
      <c r="AH84"/>
      <c r="AI84"/>
      <c r="AJ84"/>
      <c r="AK84"/>
      <c r="AL84"/>
      <c r="AM84"/>
      <c r="AN84"/>
      <c r="AO84"/>
      <c r="AP84"/>
      <c r="AQ84"/>
      <c r="AR84"/>
      <c r="AS84"/>
    </row>
    <row r="85" spans="1:45" ht="24.95" customHeight="1">
      <c r="A85" s="272"/>
      <c r="B85" s="284"/>
      <c r="C85" s="274"/>
      <c r="D85" s="259"/>
      <c r="E85" s="95" t="s">
        <v>107</v>
      </c>
      <c r="F85" s="95" t="s">
        <v>78</v>
      </c>
      <c r="G85" s="95" t="s">
        <v>40</v>
      </c>
      <c r="H85" s="259"/>
      <c r="I85" s="260"/>
      <c r="J85" s="102">
        <f>ROUNDUP('Tarifa 2026'!J86*(1+Instructions!$AA$9),3)</f>
        <v>41.9</v>
      </c>
      <c r="K85" s="103">
        <f t="shared" si="2"/>
        <v>43.994999999999997</v>
      </c>
      <c r="L85" s="103" t="str">
        <f>IF(I85=1,"-",IF(AND(I85="",L84="-"),"-",ROUNDUP((J85*0.2)+J85,3)))</f>
        <v>-</v>
      </c>
      <c r="M85" s="73"/>
      <c r="N85" s="74"/>
    </row>
    <row r="86" spans="1:45" s="51" customFormat="1" ht="24.95" customHeight="1">
      <c r="A86" s="272"/>
      <c r="B86" s="284"/>
      <c r="C86" s="274"/>
      <c r="D86" s="259"/>
      <c r="E86" s="95" t="s">
        <v>107</v>
      </c>
      <c r="F86" s="95" t="s">
        <v>79</v>
      </c>
      <c r="G86" s="95" t="s">
        <v>40</v>
      </c>
      <c r="H86" s="259"/>
      <c r="I86" s="260"/>
      <c r="J86" s="102">
        <f>ROUNDUP('Tarifa 2026'!J87*(1+Instructions!$AA$9),3)</f>
        <v>43.9</v>
      </c>
      <c r="K86" s="103">
        <f t="shared" si="2"/>
        <v>46.094999999999999</v>
      </c>
      <c r="L86" s="103" t="str">
        <f t="shared" ref="L86:L88" si="6">IF(I86=1,"-",IF(AND(I86="",L84="-"),"-",ROUNDUP((J86*0.2)+J86,3)))</f>
        <v>-</v>
      </c>
      <c r="M86" s="73"/>
      <c r="N86" s="74"/>
      <c r="O86"/>
      <c r="P86"/>
      <c r="Q86"/>
      <c r="R86"/>
    </row>
    <row r="87" spans="1:45" s="51" customFormat="1" ht="24.95" customHeight="1">
      <c r="A87" s="265">
        <v>79</v>
      </c>
      <c r="B87" s="288" t="s">
        <v>53</v>
      </c>
      <c r="C87" s="263">
        <v>9402</v>
      </c>
      <c r="D87" s="262" t="s">
        <v>212</v>
      </c>
      <c r="E87" s="119" t="s">
        <v>107</v>
      </c>
      <c r="F87" s="119" t="s">
        <v>62</v>
      </c>
      <c r="G87" s="119" t="s">
        <v>40</v>
      </c>
      <c r="H87" s="262">
        <v>25</v>
      </c>
      <c r="I87" s="266">
        <v>1</v>
      </c>
      <c r="J87" s="121">
        <f>ROUNDUP('Tarifa 2026'!J88*(1+Instructions!$AA$9),3)</f>
        <v>45.9</v>
      </c>
      <c r="K87" s="122">
        <f t="shared" si="2"/>
        <v>48.195</v>
      </c>
      <c r="L87" s="122" t="str">
        <f t="shared" si="6"/>
        <v>-</v>
      </c>
      <c r="M87" s="73"/>
      <c r="N87" s="74"/>
      <c r="O87"/>
      <c r="P87"/>
      <c r="Q87"/>
      <c r="R87"/>
    </row>
    <row r="88" spans="1:45" s="51" customFormat="1" ht="24.95" customHeight="1">
      <c r="A88" s="265"/>
      <c r="B88" s="288"/>
      <c r="C88" s="263"/>
      <c r="D88" s="262"/>
      <c r="E88" s="119" t="s">
        <v>107</v>
      </c>
      <c r="F88" s="119" t="s">
        <v>78</v>
      </c>
      <c r="G88" s="119" t="s">
        <v>40</v>
      </c>
      <c r="H88" s="262"/>
      <c r="I88" s="266"/>
      <c r="J88" s="121">
        <f>ROUNDUP('Tarifa 2026'!J89*(1+Instructions!$AA$9),3)</f>
        <v>48</v>
      </c>
      <c r="K88" s="122">
        <f t="shared" si="2"/>
        <v>50.4</v>
      </c>
      <c r="L88" s="122" t="str">
        <f t="shared" si="6"/>
        <v>-</v>
      </c>
      <c r="M88" s="73"/>
      <c r="N88" s="74"/>
      <c r="O88"/>
      <c r="P88"/>
      <c r="Q88"/>
      <c r="R88"/>
    </row>
    <row r="89" spans="1:45" s="51" customFormat="1" ht="24.95" customHeight="1">
      <c r="A89" s="265"/>
      <c r="B89" s="288"/>
      <c r="C89" s="263"/>
      <c r="D89" s="262"/>
      <c r="E89" s="119" t="s">
        <v>107</v>
      </c>
      <c r="F89" s="119" t="s">
        <v>79</v>
      </c>
      <c r="G89" s="119" t="s">
        <v>40</v>
      </c>
      <c r="H89" s="262"/>
      <c r="I89" s="266"/>
      <c r="J89" s="121">
        <f>ROUNDUP('Tarifa 2026'!J90*(1+Instructions!$AA$9),3)</f>
        <v>50</v>
      </c>
      <c r="K89" s="122">
        <f t="shared" ref="K89:K165" si="7">IF(I89=1,(ROUNDUP((J89*0.05+J89),3)),ROUNDUP((J89*0.05+J89),3))</f>
        <v>52.5</v>
      </c>
      <c r="L89" s="122" t="str">
        <f t="shared" ref="L89:L165" si="8">IF(I89=1,"-",IF(AND(I89="",L87="-"),"-",ROUNDUP((J89*0.2)+J89,3)))</f>
        <v>-</v>
      </c>
      <c r="M89" s="73"/>
      <c r="N89" s="74"/>
      <c r="O89"/>
      <c r="P89"/>
      <c r="Q89"/>
      <c r="R89"/>
    </row>
    <row r="90" spans="1:45" s="51" customFormat="1" ht="24.95" customHeight="1">
      <c r="A90" s="272">
        <v>81</v>
      </c>
      <c r="B90" s="284" t="s">
        <v>53</v>
      </c>
      <c r="C90" s="274">
        <v>9403</v>
      </c>
      <c r="D90" s="259" t="s">
        <v>213</v>
      </c>
      <c r="E90" s="95" t="s">
        <v>107</v>
      </c>
      <c r="F90" s="95" t="s">
        <v>62</v>
      </c>
      <c r="G90" s="95" t="s">
        <v>40</v>
      </c>
      <c r="H90" s="259">
        <v>20</v>
      </c>
      <c r="I90" s="260">
        <v>1</v>
      </c>
      <c r="J90" s="102">
        <f>ROUNDUP('Tarifa 2026'!J91*(1+Instructions!$AA$9),3)</f>
        <v>49.9</v>
      </c>
      <c r="K90" s="103">
        <f t="shared" si="7"/>
        <v>52.395000000000003</v>
      </c>
      <c r="L90" s="103" t="str">
        <f t="shared" si="8"/>
        <v>-</v>
      </c>
      <c r="M90" s="73"/>
      <c r="N90" s="74"/>
      <c r="O90"/>
      <c r="P90"/>
      <c r="Q90"/>
      <c r="R90"/>
    </row>
    <row r="91" spans="1:45" s="51" customFormat="1" ht="24.95" customHeight="1">
      <c r="A91" s="272"/>
      <c r="B91" s="284"/>
      <c r="C91" s="274"/>
      <c r="D91" s="259"/>
      <c r="E91" s="95" t="s">
        <v>107</v>
      </c>
      <c r="F91" s="95" t="s">
        <v>78</v>
      </c>
      <c r="G91" s="95" t="s">
        <v>40</v>
      </c>
      <c r="H91" s="259"/>
      <c r="I91" s="260"/>
      <c r="J91" s="102">
        <f>ROUNDUP('Tarifa 2026'!J92*(1+Instructions!$AA$9),3)</f>
        <v>52</v>
      </c>
      <c r="K91" s="103">
        <f t="shared" si="7"/>
        <v>54.6</v>
      </c>
      <c r="L91" s="103" t="str">
        <f t="shared" si="8"/>
        <v>-</v>
      </c>
      <c r="M91" s="73"/>
      <c r="N91" s="74"/>
      <c r="O91"/>
      <c r="P91"/>
      <c r="Q91"/>
      <c r="R91"/>
    </row>
    <row r="92" spans="1:45" s="51" customFormat="1" ht="24.95" customHeight="1">
      <c r="A92" s="272"/>
      <c r="B92" s="284"/>
      <c r="C92" s="274"/>
      <c r="D92" s="259"/>
      <c r="E92" s="95" t="s">
        <v>107</v>
      </c>
      <c r="F92" s="95" t="s">
        <v>79</v>
      </c>
      <c r="G92" s="95" t="s">
        <v>40</v>
      </c>
      <c r="H92" s="259"/>
      <c r="I92" s="260"/>
      <c r="J92" s="102">
        <f>ROUNDUP('Tarifa 2026'!J93*(1+Instructions!$AA$9),3)</f>
        <v>54</v>
      </c>
      <c r="K92" s="103">
        <f t="shared" si="7"/>
        <v>56.7</v>
      </c>
      <c r="L92" s="103" t="str">
        <f t="shared" si="8"/>
        <v>-</v>
      </c>
      <c r="M92" s="73"/>
      <c r="N92" s="74"/>
      <c r="O92"/>
      <c r="P92"/>
      <c r="Q92"/>
      <c r="R92"/>
    </row>
    <row r="93" spans="1:45" s="51" customFormat="1" ht="24.95" customHeight="1">
      <c r="A93" s="116">
        <v>81</v>
      </c>
      <c r="B93" s="117" t="s">
        <v>53</v>
      </c>
      <c r="C93" s="118">
        <v>9400</v>
      </c>
      <c r="D93" s="119" t="s">
        <v>214</v>
      </c>
      <c r="E93" s="119" t="s">
        <v>107</v>
      </c>
      <c r="F93" s="119" t="s">
        <v>147</v>
      </c>
      <c r="G93" s="119" t="s">
        <v>40</v>
      </c>
      <c r="H93" s="119">
        <v>25</v>
      </c>
      <c r="I93" s="120">
        <v>1</v>
      </c>
      <c r="J93" s="121">
        <f>ROUNDUP('Tarifa 2026'!J94*(1+Instructions!$AA$9),3)</f>
        <v>39.9</v>
      </c>
      <c r="K93" s="122">
        <f t="shared" si="7"/>
        <v>41.895000000000003</v>
      </c>
      <c r="L93" s="122" t="str">
        <f t="shared" si="8"/>
        <v>-</v>
      </c>
      <c r="M93" s="73"/>
      <c r="N93" s="74"/>
      <c r="O93"/>
      <c r="P93"/>
      <c r="Q93"/>
      <c r="R93"/>
    </row>
    <row r="94" spans="1:45" s="51" customFormat="1" ht="24.95" customHeight="1">
      <c r="A94" s="272">
        <v>83</v>
      </c>
      <c r="B94" s="284" t="s">
        <v>53</v>
      </c>
      <c r="C94" s="274">
        <v>9404</v>
      </c>
      <c r="D94" s="259" t="s">
        <v>215</v>
      </c>
      <c r="E94" s="95" t="s">
        <v>107</v>
      </c>
      <c r="F94" s="95" t="s">
        <v>62</v>
      </c>
      <c r="G94" s="95" t="s">
        <v>40</v>
      </c>
      <c r="H94" s="259">
        <v>15</v>
      </c>
      <c r="I94" s="260">
        <v>1</v>
      </c>
      <c r="J94" s="80">
        <f>ROUNDUP('Tarifa 2026'!J95*(1+Instructions!$AA$9),3)</f>
        <v>71.900000000000006</v>
      </c>
      <c r="K94" s="62">
        <f t="shared" si="7"/>
        <v>75.495000000000005</v>
      </c>
      <c r="L94" s="62" t="str">
        <f t="shared" si="8"/>
        <v>-</v>
      </c>
      <c r="M94" s="73"/>
      <c r="N94" s="74"/>
      <c r="O94"/>
      <c r="P94"/>
      <c r="Q94"/>
      <c r="R94"/>
    </row>
    <row r="95" spans="1:45" ht="24.95" customHeight="1">
      <c r="A95" s="272"/>
      <c r="B95" s="284"/>
      <c r="C95" s="274"/>
      <c r="D95" s="259"/>
      <c r="E95" s="95" t="s">
        <v>107</v>
      </c>
      <c r="F95" s="95" t="s">
        <v>78</v>
      </c>
      <c r="G95" s="95" t="s">
        <v>40</v>
      </c>
      <c r="H95" s="259"/>
      <c r="I95" s="260"/>
      <c r="J95" s="80">
        <f>ROUNDUP('Tarifa 2026'!J96*(1+Instructions!$AA$9),3)</f>
        <v>75.5</v>
      </c>
      <c r="K95" s="62">
        <f t="shared" si="7"/>
        <v>79.275000000000006</v>
      </c>
      <c r="L95" s="62" t="str">
        <f t="shared" si="8"/>
        <v>-</v>
      </c>
      <c r="M95" s="73"/>
      <c r="N95" s="74"/>
    </row>
    <row r="96" spans="1:45" ht="24.95" customHeight="1">
      <c r="A96" s="272"/>
      <c r="B96" s="284"/>
      <c r="C96" s="274"/>
      <c r="D96" s="259"/>
      <c r="E96" s="95" t="s">
        <v>107</v>
      </c>
      <c r="F96" s="95" t="s">
        <v>79</v>
      </c>
      <c r="G96" s="95" t="s">
        <v>40</v>
      </c>
      <c r="H96" s="259"/>
      <c r="I96" s="260"/>
      <c r="J96" s="80">
        <f>ROUNDUP('Tarifa 2026'!J97*(1+Instructions!$AA$9),3)</f>
        <v>78</v>
      </c>
      <c r="K96" s="62">
        <f t="shared" si="7"/>
        <v>81.900000000000006</v>
      </c>
      <c r="L96" s="62" t="str">
        <f t="shared" si="8"/>
        <v>-</v>
      </c>
      <c r="M96" s="73"/>
      <c r="N96" s="74"/>
    </row>
    <row r="97" spans="1:14" ht="24.95" customHeight="1">
      <c r="A97" s="261" t="s">
        <v>216</v>
      </c>
      <c r="B97" s="261"/>
      <c r="C97" s="261"/>
      <c r="D97" s="261"/>
      <c r="E97" s="261"/>
      <c r="F97" s="261"/>
      <c r="G97" s="261"/>
      <c r="H97" s="261"/>
      <c r="I97" s="261"/>
      <c r="J97" s="261"/>
      <c r="K97" s="261"/>
      <c r="L97" s="261"/>
      <c r="M97" s="73"/>
      <c r="N97" s="74"/>
    </row>
    <row r="98" spans="1:14" ht="24.95" customHeight="1">
      <c r="A98" s="265">
        <v>87</v>
      </c>
      <c r="B98" s="264" t="s">
        <v>164</v>
      </c>
      <c r="C98" s="263">
        <v>9327</v>
      </c>
      <c r="D98" s="262" t="s">
        <v>305</v>
      </c>
      <c r="E98" s="171" t="s">
        <v>39</v>
      </c>
      <c r="F98" s="119" t="s">
        <v>80</v>
      </c>
      <c r="G98" s="119" t="s">
        <v>44</v>
      </c>
      <c r="H98" s="262">
        <v>15</v>
      </c>
      <c r="I98" s="266">
        <v>1</v>
      </c>
      <c r="J98" s="121">
        <f>ROUNDUP('Tarifa 2026'!J99*(1+Instructions!$AA$9),3)</f>
        <v>3.96</v>
      </c>
      <c r="K98" s="122">
        <f t="shared" ref="K98" si="9">IF(I98=1,(ROUNDUP((J98*0.05+J98),3)),ROUNDUP((J98*0.05+J98),3))</f>
        <v>4.1580000000000004</v>
      </c>
      <c r="L98" s="122" t="str">
        <f t="shared" ref="L98" si="10">IF(I98=1,"-",IF(AND(I98="",L85="-"),"-",ROUNDUP((J98*0.2)+J98,3)))</f>
        <v>-</v>
      </c>
      <c r="M98" s="73"/>
      <c r="N98" s="74"/>
    </row>
    <row r="99" spans="1:14" ht="24.95" customHeight="1">
      <c r="A99" s="265"/>
      <c r="B99" s="264"/>
      <c r="C99" s="263"/>
      <c r="D99" s="262"/>
      <c r="E99" s="171" t="s">
        <v>39</v>
      </c>
      <c r="F99" s="119" t="s">
        <v>78</v>
      </c>
      <c r="G99" s="119" t="s">
        <v>44</v>
      </c>
      <c r="H99" s="262"/>
      <c r="I99" s="266"/>
      <c r="J99" s="121">
        <f>ROUNDUP('Tarifa 2026'!J100*(1+Instructions!$AA$9),3)</f>
        <v>5.3</v>
      </c>
      <c r="K99" s="122">
        <f t="shared" ref="K99:K133" si="11">IF(I99=1,(ROUNDUP((J99*0.05+J99),3)),ROUNDUP((J99*0.05+J99),3))</f>
        <v>5.5650000000000004</v>
      </c>
      <c r="L99" s="122" t="str">
        <f t="shared" ref="L99:L133" si="12">IF(I99=1,"-",IF(AND(I99="",L86="-"),"-",ROUNDUP((J99*0.2)+J99,3)))</f>
        <v>-</v>
      </c>
      <c r="M99" s="73"/>
      <c r="N99" s="74"/>
    </row>
    <row r="100" spans="1:14" ht="24.95" customHeight="1">
      <c r="A100" s="265"/>
      <c r="B100" s="264"/>
      <c r="C100" s="263"/>
      <c r="D100" s="262"/>
      <c r="E100" s="171" t="s">
        <v>39</v>
      </c>
      <c r="F100" s="119" t="s">
        <v>79</v>
      </c>
      <c r="G100" s="119" t="s">
        <v>44</v>
      </c>
      <c r="H100" s="262"/>
      <c r="I100" s="266"/>
      <c r="J100" s="121">
        <f>ROUNDUP('Tarifa 2026'!J101*(1+Instructions!$AA$9),3)</f>
        <v>5.6</v>
      </c>
      <c r="K100" s="122">
        <f t="shared" si="11"/>
        <v>5.88</v>
      </c>
      <c r="L100" s="122" t="str">
        <f t="shared" si="12"/>
        <v>-</v>
      </c>
      <c r="M100" s="73"/>
      <c r="N100" s="74"/>
    </row>
    <row r="101" spans="1:14" ht="24.95" customHeight="1">
      <c r="A101" s="265"/>
      <c r="B101" s="264"/>
      <c r="C101" s="263"/>
      <c r="D101" s="262"/>
      <c r="E101" s="171" t="s">
        <v>39</v>
      </c>
      <c r="F101" s="119" t="s">
        <v>86</v>
      </c>
      <c r="G101" s="119" t="s">
        <v>44</v>
      </c>
      <c r="H101" s="262"/>
      <c r="I101" s="266"/>
      <c r="J101" s="121">
        <f>ROUNDUP('Tarifa 2026'!J102*(1+Instructions!$AA$9),3)</f>
        <v>5.9</v>
      </c>
      <c r="K101" s="122">
        <f t="shared" si="11"/>
        <v>6.1950000000000003</v>
      </c>
      <c r="L101" s="122" t="str">
        <f t="shared" si="12"/>
        <v>-</v>
      </c>
      <c r="M101" s="73"/>
      <c r="N101" s="74"/>
    </row>
    <row r="102" spans="1:14" ht="24.95" customHeight="1">
      <c r="A102" s="265"/>
      <c r="B102" s="264"/>
      <c r="C102" s="263"/>
      <c r="D102" s="262"/>
      <c r="E102" s="171" t="s">
        <v>39</v>
      </c>
      <c r="F102" s="119" t="s">
        <v>80</v>
      </c>
      <c r="G102" s="119" t="s">
        <v>40</v>
      </c>
      <c r="H102" s="262"/>
      <c r="I102" s="266"/>
      <c r="J102" s="121">
        <f>ROUNDUP('Tarifa 2026'!J103*(1+Instructions!$AA$9),3)</f>
        <v>4.8</v>
      </c>
      <c r="K102" s="122">
        <f t="shared" ref="K102:K105" si="13">IF(I102=1,(ROUNDUP((J102*0.05+J102),3)),ROUNDUP((J102*0.05+J102),3))</f>
        <v>5.04</v>
      </c>
      <c r="L102" s="122" t="str">
        <f t="shared" ref="L102:L105" si="14">IF(I102=1,"-",IF(AND(I102="",L89="-"),"-",ROUNDUP((J102*0.2)+J102,3)))</f>
        <v>-</v>
      </c>
      <c r="M102" s="73"/>
      <c r="N102" s="74"/>
    </row>
    <row r="103" spans="1:14" ht="24.95" customHeight="1">
      <c r="A103" s="265"/>
      <c r="B103" s="264"/>
      <c r="C103" s="263"/>
      <c r="D103" s="262"/>
      <c r="E103" s="171" t="s">
        <v>39</v>
      </c>
      <c r="F103" s="119" t="s">
        <v>78</v>
      </c>
      <c r="G103" s="119" t="s">
        <v>40</v>
      </c>
      <c r="H103" s="262"/>
      <c r="I103" s="266"/>
      <c r="J103" s="121">
        <f>ROUNDUP('Tarifa 2026'!J104*(1+Instructions!$AA$9),3)</f>
        <v>6</v>
      </c>
      <c r="K103" s="122">
        <f t="shared" si="13"/>
        <v>6.3</v>
      </c>
      <c r="L103" s="122" t="str">
        <f t="shared" si="14"/>
        <v>-</v>
      </c>
      <c r="M103" s="73"/>
      <c r="N103" s="74"/>
    </row>
    <row r="104" spans="1:14" ht="24.95" customHeight="1">
      <c r="A104" s="265"/>
      <c r="B104" s="264"/>
      <c r="C104" s="263"/>
      <c r="D104" s="262"/>
      <c r="E104" s="171" t="s">
        <v>39</v>
      </c>
      <c r="F104" s="119" t="s">
        <v>79</v>
      </c>
      <c r="G104" s="119" t="s">
        <v>40</v>
      </c>
      <c r="H104" s="262"/>
      <c r="I104" s="266"/>
      <c r="J104" s="121">
        <f>ROUNDUP('Tarifa 2026'!J105*(1+Instructions!$AA$9),3)</f>
        <v>6.3</v>
      </c>
      <c r="K104" s="122">
        <f t="shared" si="13"/>
        <v>6.6150000000000002</v>
      </c>
      <c r="L104" s="122" t="str">
        <f t="shared" si="14"/>
        <v>-</v>
      </c>
      <c r="M104" s="73"/>
      <c r="N104" s="74"/>
    </row>
    <row r="105" spans="1:14" ht="24.95" customHeight="1">
      <c r="A105" s="265"/>
      <c r="B105" s="264"/>
      <c r="C105" s="263"/>
      <c r="D105" s="262"/>
      <c r="E105" s="171" t="s">
        <v>39</v>
      </c>
      <c r="F105" s="119" t="s">
        <v>86</v>
      </c>
      <c r="G105" s="119" t="s">
        <v>40</v>
      </c>
      <c r="H105" s="262"/>
      <c r="I105" s="266"/>
      <c r="J105" s="121">
        <f>ROUNDUP('Tarifa 2026'!J106*(1+Instructions!$AA$9),3)</f>
        <v>6.6</v>
      </c>
      <c r="K105" s="122">
        <f t="shared" si="13"/>
        <v>6.93</v>
      </c>
      <c r="L105" s="122" t="str">
        <f t="shared" si="14"/>
        <v>-</v>
      </c>
      <c r="M105" s="73"/>
      <c r="N105" s="74"/>
    </row>
    <row r="106" spans="1:14" ht="24.95" customHeight="1">
      <c r="A106" s="272">
        <v>87</v>
      </c>
      <c r="B106" s="255" t="s">
        <v>164</v>
      </c>
      <c r="C106" s="274">
        <v>8421</v>
      </c>
      <c r="D106" s="259" t="s">
        <v>306</v>
      </c>
      <c r="E106" s="95" t="s">
        <v>107</v>
      </c>
      <c r="F106" s="95" t="s">
        <v>80</v>
      </c>
      <c r="G106" s="95" t="s">
        <v>84</v>
      </c>
      <c r="H106" s="259">
        <v>50</v>
      </c>
      <c r="I106" s="260">
        <v>1</v>
      </c>
      <c r="J106" s="102">
        <f>ROUNDUP('Tarifa 2026'!J107*(1+Instructions!$AA$9),3)</f>
        <v>9</v>
      </c>
      <c r="K106" s="103">
        <f t="shared" si="11"/>
        <v>9.4499999999999993</v>
      </c>
      <c r="L106" s="103" t="str">
        <f t="shared" ref="L106:L113" si="15">IF(I106=1,"-",IF(AND(I106="",L89="-"),"-",ROUNDUP((J106*0.2)+J106,3)))</f>
        <v>-</v>
      </c>
      <c r="M106" s="73"/>
      <c r="N106" s="74"/>
    </row>
    <row r="107" spans="1:14" ht="24.95" customHeight="1">
      <c r="A107" s="272"/>
      <c r="B107" s="255"/>
      <c r="C107" s="274"/>
      <c r="D107" s="259"/>
      <c r="E107" s="95" t="s">
        <v>107</v>
      </c>
      <c r="F107" s="95" t="s">
        <v>78</v>
      </c>
      <c r="G107" s="95" t="s">
        <v>84</v>
      </c>
      <c r="H107" s="259"/>
      <c r="I107" s="260"/>
      <c r="J107" s="102">
        <f>ROUNDUP('Tarifa 2026'!J108*(1+Instructions!$AA$9),3)</f>
        <v>9.5</v>
      </c>
      <c r="K107" s="103">
        <f t="shared" si="11"/>
        <v>9.9749999999999996</v>
      </c>
      <c r="L107" s="103" t="str">
        <f t="shared" si="15"/>
        <v>-</v>
      </c>
      <c r="M107" s="73"/>
      <c r="N107" s="74"/>
    </row>
    <row r="108" spans="1:14" ht="24.95" customHeight="1">
      <c r="A108" s="301">
        <v>88</v>
      </c>
      <c r="B108" s="302" t="s">
        <v>53</v>
      </c>
      <c r="C108" s="303">
        <v>5067</v>
      </c>
      <c r="D108" s="304" t="s">
        <v>218</v>
      </c>
      <c r="E108" s="171" t="s">
        <v>107</v>
      </c>
      <c r="F108" s="171" t="s">
        <v>62</v>
      </c>
      <c r="G108" s="171" t="s">
        <v>84</v>
      </c>
      <c r="H108" s="304">
        <v>20</v>
      </c>
      <c r="I108" s="305">
        <v>1</v>
      </c>
      <c r="J108" s="121">
        <f>ROUNDUP('Tarifa 2026'!J109*(1+Instructions!$AA$9),3)</f>
        <v>20.8</v>
      </c>
      <c r="K108" s="122">
        <f t="shared" si="11"/>
        <v>21.84</v>
      </c>
      <c r="L108" s="122" t="str">
        <f t="shared" si="15"/>
        <v>-</v>
      </c>
      <c r="M108" s="73"/>
      <c r="N108" s="74"/>
    </row>
    <row r="109" spans="1:14" ht="24.95" customHeight="1">
      <c r="A109" s="301"/>
      <c r="B109" s="302"/>
      <c r="C109" s="303"/>
      <c r="D109" s="304"/>
      <c r="E109" s="171" t="s">
        <v>107</v>
      </c>
      <c r="F109" s="174" t="s">
        <v>78</v>
      </c>
      <c r="G109" s="171" t="s">
        <v>84</v>
      </c>
      <c r="H109" s="304"/>
      <c r="I109" s="305"/>
      <c r="J109" s="121">
        <f>ROUNDUP('Tarifa 2026'!J110*(1+Instructions!$AA$9),3)</f>
        <v>21.9</v>
      </c>
      <c r="K109" s="122">
        <f t="shared" si="11"/>
        <v>22.995000000000001</v>
      </c>
      <c r="L109" s="122" t="str">
        <f t="shared" si="15"/>
        <v>-</v>
      </c>
      <c r="M109" s="73"/>
      <c r="N109" s="74"/>
    </row>
    <row r="110" spans="1:14" ht="24.95" customHeight="1">
      <c r="A110" s="301"/>
      <c r="B110" s="302"/>
      <c r="C110" s="303"/>
      <c r="D110" s="304"/>
      <c r="E110" s="171" t="s">
        <v>107</v>
      </c>
      <c r="F110" s="174" t="s">
        <v>79</v>
      </c>
      <c r="G110" s="171" t="s">
        <v>84</v>
      </c>
      <c r="H110" s="171"/>
      <c r="I110" s="173"/>
      <c r="J110" s="121">
        <f>ROUNDUP('Tarifa 2026'!J111*(1+Instructions!$AA$9),3)</f>
        <v>23</v>
      </c>
      <c r="K110" s="122">
        <f t="shared" si="11"/>
        <v>24.15</v>
      </c>
      <c r="L110" s="122" t="str">
        <f t="shared" si="15"/>
        <v>-</v>
      </c>
      <c r="M110" s="73"/>
      <c r="N110" s="74"/>
    </row>
    <row r="111" spans="1:14" ht="24.95" customHeight="1">
      <c r="A111" s="258">
        <v>88</v>
      </c>
      <c r="B111" s="275" t="s">
        <v>53</v>
      </c>
      <c r="C111" s="257">
        <v>9111</v>
      </c>
      <c r="D111" s="252" t="s">
        <v>219</v>
      </c>
      <c r="E111" s="91" t="s">
        <v>107</v>
      </c>
      <c r="F111" s="91" t="s">
        <v>62</v>
      </c>
      <c r="G111" s="91" t="s">
        <v>84</v>
      </c>
      <c r="H111" s="252">
        <v>50</v>
      </c>
      <c r="I111" s="253">
        <v>1</v>
      </c>
      <c r="J111" s="102">
        <f>ROUNDUP('Tarifa 2026'!J112*(1+Instructions!$AA$9),3)</f>
        <v>14.6</v>
      </c>
      <c r="K111" s="103">
        <f t="shared" si="11"/>
        <v>15.33</v>
      </c>
      <c r="L111" s="103" t="str">
        <f t="shared" si="15"/>
        <v>-</v>
      </c>
      <c r="M111" s="73"/>
      <c r="N111" s="74"/>
    </row>
    <row r="112" spans="1:14" ht="24.95" customHeight="1">
      <c r="A112" s="258"/>
      <c r="B112" s="275"/>
      <c r="C112" s="257"/>
      <c r="D112" s="252"/>
      <c r="E112" s="91" t="s">
        <v>107</v>
      </c>
      <c r="F112" s="175" t="s">
        <v>78</v>
      </c>
      <c r="G112" s="91" t="s">
        <v>84</v>
      </c>
      <c r="H112" s="252"/>
      <c r="I112" s="253"/>
      <c r="J112" s="102">
        <f>ROUNDUP('Tarifa 2026'!J113*(1+Instructions!$AA$9),3)</f>
        <v>15.9</v>
      </c>
      <c r="K112" s="103">
        <f t="shared" si="11"/>
        <v>16.695</v>
      </c>
      <c r="L112" s="103" t="str">
        <f t="shared" si="15"/>
        <v>-</v>
      </c>
      <c r="M112" s="73"/>
      <c r="N112" s="74"/>
    </row>
    <row r="113" spans="1:18" ht="24.95" customHeight="1">
      <c r="A113" s="265">
        <v>90</v>
      </c>
      <c r="B113" s="288" t="s">
        <v>53</v>
      </c>
      <c r="C113" s="263">
        <v>6725</v>
      </c>
      <c r="D113" s="262" t="s">
        <v>220</v>
      </c>
      <c r="E113" s="119" t="s">
        <v>107</v>
      </c>
      <c r="F113" s="119" t="s">
        <v>62</v>
      </c>
      <c r="G113" s="119" t="s">
        <v>40</v>
      </c>
      <c r="H113" s="262">
        <v>50</v>
      </c>
      <c r="I113" s="266">
        <v>1</v>
      </c>
      <c r="J113" s="121">
        <f>ROUNDUP('Tarifa 2026'!J114*(1+Instructions!$AA$9),3)</f>
        <v>13.9</v>
      </c>
      <c r="K113" s="122">
        <f t="shared" si="11"/>
        <v>14.595000000000001</v>
      </c>
      <c r="L113" s="122" t="str">
        <f t="shared" si="15"/>
        <v>-</v>
      </c>
      <c r="M113" s="73"/>
      <c r="N113" s="74"/>
    </row>
    <row r="114" spans="1:18" ht="24.95" customHeight="1">
      <c r="A114" s="265"/>
      <c r="B114" s="288"/>
      <c r="C114" s="263"/>
      <c r="D114" s="262"/>
      <c r="E114" s="119" t="s">
        <v>107</v>
      </c>
      <c r="F114" s="119" t="s">
        <v>78</v>
      </c>
      <c r="G114" s="119" t="s">
        <v>40</v>
      </c>
      <c r="H114" s="262"/>
      <c r="I114" s="266"/>
      <c r="J114" s="121">
        <f>ROUNDUP('Tarifa 2026'!J115*(1+Instructions!$AA$9),3)</f>
        <v>14.6</v>
      </c>
      <c r="K114" s="122">
        <f t="shared" si="11"/>
        <v>15.33</v>
      </c>
      <c r="L114" s="122" t="str">
        <f>IF(I113=1,"-",IF(AND(I113="",L97="-"),"-",ROUNDUP((J114*0.2)+J114,3)))</f>
        <v>-</v>
      </c>
      <c r="M114" s="73"/>
      <c r="N114" s="74"/>
    </row>
    <row r="115" spans="1:18" ht="24.95" customHeight="1">
      <c r="A115" s="258">
        <v>91</v>
      </c>
      <c r="B115" s="275" t="s">
        <v>53</v>
      </c>
      <c r="C115" s="257">
        <v>8400</v>
      </c>
      <c r="D115" s="252" t="s">
        <v>221</v>
      </c>
      <c r="E115" s="91" t="s">
        <v>107</v>
      </c>
      <c r="F115" s="91" t="s">
        <v>62</v>
      </c>
      <c r="G115" s="91" t="s">
        <v>40</v>
      </c>
      <c r="H115" s="252">
        <v>50</v>
      </c>
      <c r="I115" s="253">
        <v>1</v>
      </c>
      <c r="J115" s="102">
        <f>ROUNDUP('Tarifa 2026'!J116*(1+Instructions!$AA$9),3)</f>
        <v>19.899999999999999</v>
      </c>
      <c r="K115" s="103">
        <f t="shared" si="11"/>
        <v>20.895</v>
      </c>
      <c r="L115" s="103" t="str">
        <f>IF(I115=1,"-",IF(AND(I115="",L98="-"),"-",ROUNDUP((J115*0.2)+J115,3)))</f>
        <v>-</v>
      </c>
      <c r="M115" s="73"/>
      <c r="N115" s="74"/>
    </row>
    <row r="116" spans="1:18" ht="24.95" customHeight="1">
      <c r="A116" s="258"/>
      <c r="B116" s="275"/>
      <c r="C116" s="257"/>
      <c r="D116" s="252"/>
      <c r="E116" s="91" t="s">
        <v>107</v>
      </c>
      <c r="F116" s="91" t="s">
        <v>78</v>
      </c>
      <c r="G116" s="91" t="s">
        <v>40</v>
      </c>
      <c r="H116" s="252"/>
      <c r="I116" s="253"/>
      <c r="J116" s="102">
        <f>ROUNDUP('Tarifa 2026'!J117*(1+Instructions!$AA$9),3)</f>
        <v>21.1</v>
      </c>
      <c r="K116" s="103">
        <f t="shared" si="11"/>
        <v>22.155000000000001</v>
      </c>
      <c r="L116" s="103" t="str">
        <f>IF(I116=1,"-",IF(AND(I116="",L99="-"),"-",ROUNDUP((J116*0.2)+J116,3)))</f>
        <v>-</v>
      </c>
      <c r="M116" s="73"/>
      <c r="N116" s="74"/>
    </row>
    <row r="117" spans="1:18" ht="24.95" customHeight="1">
      <c r="A117" s="116">
        <v>91</v>
      </c>
      <c r="B117" s="117" t="s">
        <v>53</v>
      </c>
      <c r="C117" s="118">
        <v>9005</v>
      </c>
      <c r="D117" s="119" t="s">
        <v>157</v>
      </c>
      <c r="E117" s="119" t="s">
        <v>39</v>
      </c>
      <c r="F117" s="119" t="s">
        <v>156</v>
      </c>
      <c r="G117" s="119" t="s">
        <v>40</v>
      </c>
      <c r="H117" s="119">
        <v>30</v>
      </c>
      <c r="I117" s="120">
        <v>1</v>
      </c>
      <c r="J117" s="121">
        <f>ROUNDUP('Tarifa 2026'!J118*(1+Instructions!$AA$9),3)</f>
        <v>15</v>
      </c>
      <c r="K117" s="122">
        <f t="shared" si="11"/>
        <v>15.75</v>
      </c>
      <c r="L117" s="122" t="str">
        <f>IF(I117=1,"-",IF(AND(I117="",L100="-"),"-",ROUNDUP((J117*0.2)+J117,3)))</f>
        <v>-</v>
      </c>
      <c r="M117" s="73"/>
      <c r="N117" s="74"/>
    </row>
    <row r="118" spans="1:18" ht="24.95" customHeight="1">
      <c r="A118" s="111">
        <v>91</v>
      </c>
      <c r="B118" s="66" t="s">
        <v>53</v>
      </c>
      <c r="C118" s="112">
        <v>6715</v>
      </c>
      <c r="D118" s="91" t="s">
        <v>222</v>
      </c>
      <c r="E118" s="91" t="s">
        <v>107</v>
      </c>
      <c r="F118" s="91" t="s">
        <v>64</v>
      </c>
      <c r="G118" s="91" t="s">
        <v>40</v>
      </c>
      <c r="H118" s="91">
        <v>50</v>
      </c>
      <c r="I118" s="113">
        <v>1</v>
      </c>
      <c r="J118" s="102">
        <f>ROUNDUP('Tarifa 2026'!J119*(1+Instructions!$AA$9),3)</f>
        <v>15</v>
      </c>
      <c r="K118" s="103">
        <f t="shared" si="11"/>
        <v>15.75</v>
      </c>
      <c r="L118" s="103" t="str">
        <f>IF(I118=1,"-",IF(AND(I118="",L101="-"),"-",ROUNDUP((J118*0.2)+J118,3)))</f>
        <v>-</v>
      </c>
      <c r="M118" s="73"/>
      <c r="N118" s="74"/>
    </row>
    <row r="119" spans="1:18" ht="24.95" customHeight="1">
      <c r="A119" s="172">
        <v>92</v>
      </c>
      <c r="B119" s="176" t="s">
        <v>164</v>
      </c>
      <c r="C119" s="177">
        <v>6703</v>
      </c>
      <c r="D119" s="171" t="s">
        <v>307</v>
      </c>
      <c r="E119" s="171" t="s">
        <v>107</v>
      </c>
      <c r="F119" s="171" t="s">
        <v>161</v>
      </c>
      <c r="G119" s="171" t="s">
        <v>40</v>
      </c>
      <c r="H119" s="171">
        <v>30</v>
      </c>
      <c r="I119" s="173">
        <v>1</v>
      </c>
      <c r="J119" s="121">
        <f>ROUNDUP('Tarifa 2026'!J120*(1+Instructions!$AA$9),3)</f>
        <v>21</v>
      </c>
      <c r="K119" s="122">
        <f t="shared" si="11"/>
        <v>22.05</v>
      </c>
      <c r="L119" s="122" t="str">
        <f t="shared" si="12"/>
        <v>-</v>
      </c>
      <c r="M119" s="73"/>
      <c r="N119" s="74"/>
    </row>
    <row r="120" spans="1:18" ht="24.95" customHeight="1">
      <c r="A120" s="111">
        <v>94</v>
      </c>
      <c r="B120" s="66" t="s">
        <v>53</v>
      </c>
      <c r="C120" s="112">
        <v>9102</v>
      </c>
      <c r="D120" s="91" t="s">
        <v>234</v>
      </c>
      <c r="E120" s="91" t="s">
        <v>39</v>
      </c>
      <c r="F120" s="91" t="s">
        <v>147</v>
      </c>
      <c r="G120" s="91" t="s">
        <v>44</v>
      </c>
      <c r="H120" s="91">
        <v>25</v>
      </c>
      <c r="I120" s="113">
        <v>1</v>
      </c>
      <c r="J120" s="102">
        <f>ROUNDUP('Tarifa 2026'!J121*(1+Instructions!$AA$9),3)</f>
        <v>13.9</v>
      </c>
      <c r="K120" s="103">
        <f t="shared" si="11"/>
        <v>14.595000000000001</v>
      </c>
      <c r="L120" s="103" t="str">
        <f t="shared" si="12"/>
        <v>-</v>
      </c>
      <c r="M120" s="73"/>
      <c r="N120" s="74"/>
    </row>
    <row r="121" spans="1:18" s="51" customFormat="1" ht="21.75" customHeight="1">
      <c r="A121" s="116">
        <v>94</v>
      </c>
      <c r="B121" s="117" t="s">
        <v>53</v>
      </c>
      <c r="C121" s="118">
        <v>9109</v>
      </c>
      <c r="D121" s="119" t="s">
        <v>160</v>
      </c>
      <c r="E121" s="119" t="s">
        <v>107</v>
      </c>
      <c r="F121" s="119" t="s">
        <v>161</v>
      </c>
      <c r="G121" s="119" t="s">
        <v>40</v>
      </c>
      <c r="H121" s="119">
        <v>25</v>
      </c>
      <c r="I121" s="120">
        <v>1</v>
      </c>
      <c r="J121" s="121">
        <f>ROUNDUP('Tarifa 2026'!J122*(1+Instructions!$AA$9),3)</f>
        <v>23.9</v>
      </c>
      <c r="K121" s="122">
        <f t="shared" si="11"/>
        <v>25.094999999999999</v>
      </c>
      <c r="L121" s="122" t="str">
        <f t="shared" si="12"/>
        <v>-</v>
      </c>
      <c r="M121" s="73"/>
      <c r="N121" s="74"/>
      <c r="O121"/>
      <c r="P121"/>
      <c r="Q121"/>
      <c r="R121"/>
    </row>
    <row r="122" spans="1:18" s="51" customFormat="1" ht="21.75" customHeight="1">
      <c r="A122" s="111">
        <v>95</v>
      </c>
      <c r="B122" s="66" t="s">
        <v>53</v>
      </c>
      <c r="C122" s="112">
        <v>9200</v>
      </c>
      <c r="D122" s="91" t="s">
        <v>227</v>
      </c>
      <c r="E122" s="91" t="s">
        <v>39</v>
      </c>
      <c r="F122" s="91" t="s">
        <v>147</v>
      </c>
      <c r="G122" s="91" t="s">
        <v>40</v>
      </c>
      <c r="H122" s="91">
        <v>25</v>
      </c>
      <c r="I122" s="113">
        <v>1</v>
      </c>
      <c r="J122" s="102">
        <f>ROUNDUP('Tarifa 2026'!J123*(1+Instructions!$AA$9),3)</f>
        <v>11.9</v>
      </c>
      <c r="K122" s="103">
        <f t="shared" si="11"/>
        <v>12.494999999999999</v>
      </c>
      <c r="L122" s="103" t="str">
        <f t="shared" si="12"/>
        <v>-</v>
      </c>
      <c r="M122" s="73"/>
      <c r="N122" s="74"/>
      <c r="O122"/>
      <c r="P122"/>
      <c r="Q122"/>
      <c r="R122"/>
    </row>
    <row r="123" spans="1:18" s="51" customFormat="1" ht="21.75" customHeight="1">
      <c r="A123" s="116">
        <v>97</v>
      </c>
      <c r="B123" s="117" t="s">
        <v>53</v>
      </c>
      <c r="C123" s="118">
        <v>9100</v>
      </c>
      <c r="D123" s="119" t="s">
        <v>225</v>
      </c>
      <c r="E123" s="119" t="s">
        <v>39</v>
      </c>
      <c r="F123" s="119" t="s">
        <v>147</v>
      </c>
      <c r="G123" s="119" t="s">
        <v>40</v>
      </c>
      <c r="H123" s="119">
        <v>25</v>
      </c>
      <c r="I123" s="120">
        <v>1</v>
      </c>
      <c r="J123" s="121">
        <f>ROUNDUP('Tarifa 2026'!J124*(1+Instructions!$AA$9),3)</f>
        <v>13.9</v>
      </c>
      <c r="K123" s="122">
        <f t="shared" si="11"/>
        <v>14.595000000000001</v>
      </c>
      <c r="L123" s="122" t="str">
        <f t="shared" si="12"/>
        <v>-</v>
      </c>
      <c r="M123" s="73"/>
      <c r="N123" s="74"/>
      <c r="O123"/>
      <c r="P123"/>
      <c r="Q123"/>
      <c r="R123"/>
    </row>
    <row r="124" spans="1:18" s="51" customFormat="1" ht="21.75" customHeight="1">
      <c r="A124" s="111">
        <v>97</v>
      </c>
      <c r="B124" s="66" t="s">
        <v>53</v>
      </c>
      <c r="C124" s="112">
        <v>9118</v>
      </c>
      <c r="D124" s="91" t="s">
        <v>226</v>
      </c>
      <c r="E124" s="91" t="s">
        <v>41</v>
      </c>
      <c r="F124" s="91" t="s">
        <v>155</v>
      </c>
      <c r="G124" s="91" t="s">
        <v>40</v>
      </c>
      <c r="H124" s="91">
        <v>25</v>
      </c>
      <c r="I124" s="113">
        <v>1</v>
      </c>
      <c r="J124" s="102">
        <f>ROUNDUP('Tarifa 2026'!J125*(1+Instructions!$AA$9),3)</f>
        <v>13.9</v>
      </c>
      <c r="K124" s="103">
        <f t="shared" si="11"/>
        <v>14.595000000000001</v>
      </c>
      <c r="L124" s="103" t="str">
        <f t="shared" si="12"/>
        <v>-</v>
      </c>
      <c r="M124" s="73"/>
      <c r="N124" s="74"/>
      <c r="O124"/>
      <c r="P124"/>
      <c r="Q124"/>
      <c r="R124"/>
    </row>
    <row r="125" spans="1:18" s="51" customFormat="1" ht="21.75" customHeight="1">
      <c r="A125" s="116">
        <v>98</v>
      </c>
      <c r="B125" s="117" t="s">
        <v>53</v>
      </c>
      <c r="C125" s="118">
        <v>5096</v>
      </c>
      <c r="D125" s="119" t="s">
        <v>231</v>
      </c>
      <c r="E125" s="119" t="s">
        <v>107</v>
      </c>
      <c r="F125" s="119" t="s">
        <v>161</v>
      </c>
      <c r="G125" s="119" t="s">
        <v>40</v>
      </c>
      <c r="H125" s="119">
        <v>25</v>
      </c>
      <c r="I125" s="120">
        <v>1</v>
      </c>
      <c r="J125" s="121">
        <f>ROUNDUP('Tarifa 2026'!J126*(1+Instructions!$AA$9),3)</f>
        <v>17.899999999999999</v>
      </c>
      <c r="K125" s="122">
        <f t="shared" si="11"/>
        <v>18.795000000000002</v>
      </c>
      <c r="L125" s="122" t="str">
        <f t="shared" si="12"/>
        <v>-</v>
      </c>
      <c r="M125" s="73"/>
      <c r="N125" s="74"/>
      <c r="O125"/>
      <c r="P125"/>
      <c r="Q125"/>
      <c r="R125"/>
    </row>
    <row r="126" spans="1:18" s="51" customFormat="1" ht="21.75" customHeight="1">
      <c r="A126" s="111">
        <v>98</v>
      </c>
      <c r="B126" s="66" t="s">
        <v>53</v>
      </c>
      <c r="C126" s="112">
        <v>9108</v>
      </c>
      <c r="D126" s="91" t="s">
        <v>232</v>
      </c>
      <c r="E126" s="91" t="s">
        <v>39</v>
      </c>
      <c r="F126" s="91" t="s">
        <v>147</v>
      </c>
      <c r="G126" s="91" t="s">
        <v>40</v>
      </c>
      <c r="H126" s="91">
        <v>25</v>
      </c>
      <c r="I126" s="113">
        <v>1</v>
      </c>
      <c r="J126" s="102">
        <f>ROUNDUP('Tarifa 2026'!J127*(1+Instructions!$AA$9),3)</f>
        <v>17.5</v>
      </c>
      <c r="K126" s="103">
        <f t="shared" si="11"/>
        <v>18.375</v>
      </c>
      <c r="L126" s="103" t="str">
        <f t="shared" si="12"/>
        <v>-</v>
      </c>
      <c r="M126" s="73"/>
      <c r="N126" s="74"/>
      <c r="O126"/>
      <c r="P126"/>
      <c r="Q126"/>
      <c r="R126"/>
    </row>
    <row r="127" spans="1:18" s="51" customFormat="1" ht="21.75" customHeight="1">
      <c r="A127" s="116">
        <v>101</v>
      </c>
      <c r="B127" s="117" t="s">
        <v>53</v>
      </c>
      <c r="C127" s="118">
        <v>8407</v>
      </c>
      <c r="D127" s="119" t="s">
        <v>228</v>
      </c>
      <c r="E127" s="119" t="s">
        <v>39</v>
      </c>
      <c r="F127" s="119" t="s">
        <v>229</v>
      </c>
      <c r="G127" s="119" t="s">
        <v>40</v>
      </c>
      <c r="H127" s="119">
        <v>25</v>
      </c>
      <c r="I127" s="120">
        <v>1</v>
      </c>
      <c r="J127" s="121">
        <f>ROUNDUP('Tarifa 2026'!J128*(1+Instructions!$AA$9),3)</f>
        <v>21</v>
      </c>
      <c r="K127" s="122">
        <f t="shared" si="11"/>
        <v>22.05</v>
      </c>
      <c r="L127" s="122" t="str">
        <f t="shared" si="12"/>
        <v>-</v>
      </c>
      <c r="M127" s="73"/>
      <c r="N127" s="74"/>
      <c r="O127"/>
      <c r="P127"/>
      <c r="Q127"/>
      <c r="R127"/>
    </row>
    <row r="128" spans="1:18" s="51" customFormat="1" ht="21.75" customHeight="1">
      <c r="A128" s="111">
        <v>101</v>
      </c>
      <c r="B128" s="66" t="s">
        <v>53</v>
      </c>
      <c r="C128" s="112">
        <v>9205</v>
      </c>
      <c r="D128" s="91" t="s">
        <v>230</v>
      </c>
      <c r="E128" s="91" t="s">
        <v>39</v>
      </c>
      <c r="F128" s="91" t="s">
        <v>147</v>
      </c>
      <c r="G128" s="91" t="s">
        <v>40</v>
      </c>
      <c r="H128" s="91">
        <v>25</v>
      </c>
      <c r="I128" s="113">
        <v>1</v>
      </c>
      <c r="J128" s="102">
        <f>ROUNDUP('Tarifa 2026'!J129*(1+Instructions!$AA$9),3)</f>
        <v>21</v>
      </c>
      <c r="K128" s="103">
        <f t="shared" si="11"/>
        <v>22.05</v>
      </c>
      <c r="L128" s="103" t="str">
        <f t="shared" si="12"/>
        <v>-</v>
      </c>
      <c r="M128" s="73"/>
      <c r="N128" s="74"/>
      <c r="O128"/>
      <c r="P128"/>
      <c r="Q128"/>
      <c r="R128"/>
    </row>
    <row r="129" spans="1:18" s="6" customFormat="1" ht="21.75" customHeight="1">
      <c r="A129" s="116">
        <v>103</v>
      </c>
      <c r="B129" s="117" t="s">
        <v>53</v>
      </c>
      <c r="C129" s="118">
        <v>9207</v>
      </c>
      <c r="D129" s="119" t="s">
        <v>224</v>
      </c>
      <c r="E129" s="119" t="s">
        <v>107</v>
      </c>
      <c r="F129" s="119" t="s">
        <v>161</v>
      </c>
      <c r="G129" s="119" t="s">
        <v>40</v>
      </c>
      <c r="H129" s="119">
        <v>20</v>
      </c>
      <c r="I129" s="120">
        <v>1</v>
      </c>
      <c r="J129" s="121">
        <f>ROUNDUP('Tarifa 2026'!J130*(1+Instructions!$AA$9),3)</f>
        <v>31.9</v>
      </c>
      <c r="K129" s="122">
        <f t="shared" si="11"/>
        <v>33.494999999999997</v>
      </c>
      <c r="L129" s="122" t="str">
        <f t="shared" si="12"/>
        <v>-</v>
      </c>
      <c r="M129" s="73"/>
      <c r="N129" s="74"/>
      <c r="O129"/>
      <c r="P129"/>
      <c r="Q129"/>
      <c r="R129"/>
    </row>
    <row r="130" spans="1:18" s="6" customFormat="1" ht="21.75" customHeight="1">
      <c r="A130" s="111">
        <v>104</v>
      </c>
      <c r="B130" s="169" t="s">
        <v>164</v>
      </c>
      <c r="C130" s="112">
        <v>9326</v>
      </c>
      <c r="D130" s="91" t="s">
        <v>308</v>
      </c>
      <c r="E130" s="91" t="s">
        <v>107</v>
      </c>
      <c r="F130" s="91" t="s">
        <v>161</v>
      </c>
      <c r="G130" s="91" t="s">
        <v>40</v>
      </c>
      <c r="H130" s="91">
        <v>20</v>
      </c>
      <c r="I130" s="113">
        <v>1</v>
      </c>
      <c r="J130" s="102">
        <f>ROUNDUP('Tarifa 2026'!J131*(1+Instructions!$AA$9),3)</f>
        <v>25</v>
      </c>
      <c r="K130" s="103">
        <f t="shared" si="11"/>
        <v>26.25</v>
      </c>
      <c r="L130" s="103" t="str">
        <f t="shared" si="12"/>
        <v>-</v>
      </c>
      <c r="M130" s="73"/>
      <c r="N130" s="74"/>
      <c r="O130"/>
      <c r="P130"/>
      <c r="Q130"/>
      <c r="R130"/>
    </row>
    <row r="131" spans="1:18" s="6" customFormat="1" ht="21.75" customHeight="1">
      <c r="A131" s="116">
        <v>106</v>
      </c>
      <c r="B131" s="117" t="s">
        <v>53</v>
      </c>
      <c r="C131" s="118">
        <v>9206</v>
      </c>
      <c r="D131" s="119" t="s">
        <v>233</v>
      </c>
      <c r="E131" s="119" t="s">
        <v>107</v>
      </c>
      <c r="F131" s="119" t="s">
        <v>161</v>
      </c>
      <c r="G131" s="119" t="s">
        <v>40</v>
      </c>
      <c r="H131" s="119">
        <v>25</v>
      </c>
      <c r="I131" s="120">
        <v>1</v>
      </c>
      <c r="J131" s="121">
        <f>ROUNDUP('Tarifa 2026'!J132*(1+Instructions!$AA$9),3)</f>
        <v>21.9</v>
      </c>
      <c r="K131" s="122">
        <f t="shared" si="11"/>
        <v>22.995000000000001</v>
      </c>
      <c r="L131" s="122" t="str">
        <f t="shared" si="12"/>
        <v>-</v>
      </c>
      <c r="M131" s="73"/>
      <c r="N131" s="74"/>
      <c r="O131"/>
      <c r="P131"/>
      <c r="Q131"/>
      <c r="R131"/>
    </row>
    <row r="132" spans="1:18" s="6" customFormat="1" ht="21.75" customHeight="1">
      <c r="A132" s="111">
        <v>107</v>
      </c>
      <c r="B132" s="66" t="s">
        <v>53</v>
      </c>
      <c r="C132" s="112">
        <v>8402</v>
      </c>
      <c r="D132" s="91" t="s">
        <v>223</v>
      </c>
      <c r="E132" s="91" t="s">
        <v>107</v>
      </c>
      <c r="F132" s="91" t="s">
        <v>161</v>
      </c>
      <c r="G132" s="91" t="s">
        <v>40</v>
      </c>
      <c r="H132" s="91">
        <v>20</v>
      </c>
      <c r="I132" s="113">
        <v>1</v>
      </c>
      <c r="J132" s="102">
        <f>ROUNDUP('Tarifa 2026'!J133*(1+Instructions!$AA$9),3)</f>
        <v>25.98</v>
      </c>
      <c r="K132" s="103">
        <f t="shared" si="11"/>
        <v>27.279</v>
      </c>
      <c r="L132" s="103" t="str">
        <f t="shared" si="12"/>
        <v>-</v>
      </c>
      <c r="M132" s="73"/>
      <c r="N132" s="74"/>
      <c r="O132"/>
      <c r="P132"/>
      <c r="Q132"/>
      <c r="R132"/>
    </row>
    <row r="133" spans="1:18" s="6" customFormat="1" ht="21.75" customHeight="1">
      <c r="A133" s="116">
        <v>109</v>
      </c>
      <c r="B133" s="117" t="s">
        <v>53</v>
      </c>
      <c r="C133" s="118">
        <v>8401</v>
      </c>
      <c r="D133" s="119" t="s">
        <v>217</v>
      </c>
      <c r="E133" s="119" t="s">
        <v>107</v>
      </c>
      <c r="F133" s="119" t="s">
        <v>64</v>
      </c>
      <c r="G133" s="119" t="s">
        <v>40</v>
      </c>
      <c r="H133" s="119">
        <v>20</v>
      </c>
      <c r="I133" s="120">
        <v>1</v>
      </c>
      <c r="J133" s="121">
        <f>ROUNDUP('Tarifa 2026'!J134*(1+Instructions!$AA$9),3)</f>
        <v>24.7</v>
      </c>
      <c r="K133" s="122">
        <f t="shared" si="11"/>
        <v>25.934999999999999</v>
      </c>
      <c r="L133" s="122" t="str">
        <f t="shared" si="12"/>
        <v>-</v>
      </c>
      <c r="M133" s="73"/>
      <c r="N133" s="74"/>
      <c r="O133"/>
      <c r="P133"/>
      <c r="Q133"/>
      <c r="R133"/>
    </row>
    <row r="134" spans="1:18" s="52" customFormat="1" ht="21.75" customHeight="1">
      <c r="A134" s="285" t="s">
        <v>235</v>
      </c>
      <c r="B134" s="285"/>
      <c r="C134" s="285"/>
      <c r="D134" s="285"/>
      <c r="E134" s="285"/>
      <c r="F134" s="285"/>
      <c r="G134" s="285"/>
      <c r="H134" s="285"/>
      <c r="I134" s="285"/>
      <c r="J134" s="285"/>
      <c r="K134" s="285"/>
      <c r="L134" s="285"/>
      <c r="M134" s="73"/>
      <c r="N134" s="74"/>
      <c r="O134"/>
      <c r="P134"/>
      <c r="Q134"/>
      <c r="R134"/>
    </row>
    <row r="135" spans="1:18" s="52" customFormat="1" ht="21.75" customHeight="1">
      <c r="A135" s="111">
        <v>112</v>
      </c>
      <c r="B135" s="66" t="s">
        <v>53</v>
      </c>
      <c r="C135" s="112">
        <v>8411</v>
      </c>
      <c r="D135" s="91" t="s">
        <v>236</v>
      </c>
      <c r="E135" s="91" t="s">
        <v>107</v>
      </c>
      <c r="F135" s="91" t="s">
        <v>64</v>
      </c>
      <c r="G135" s="91" t="s">
        <v>40</v>
      </c>
      <c r="H135" s="91">
        <v>50</v>
      </c>
      <c r="I135" s="113">
        <v>1</v>
      </c>
      <c r="J135" s="102">
        <f>ROUNDUP('Tarifa 2026'!J136*(1+Instructions!$AA$9),3)</f>
        <v>7.9</v>
      </c>
      <c r="K135" s="103">
        <f t="shared" si="7"/>
        <v>8.2949999999999999</v>
      </c>
      <c r="L135" s="103" t="str">
        <f>IF(I135=1,"-",IF(AND(I135="",#REF!="-"),"-",ROUNDUP((J135*0.2)+J135,3)))</f>
        <v>-</v>
      </c>
      <c r="M135" s="73"/>
      <c r="N135" s="74"/>
      <c r="O135"/>
      <c r="P135"/>
      <c r="Q135"/>
      <c r="R135"/>
    </row>
    <row r="136" spans="1:18" s="52" customFormat="1" ht="21.75" customHeight="1">
      <c r="A136" s="124">
        <v>112</v>
      </c>
      <c r="B136" s="125" t="s">
        <v>53</v>
      </c>
      <c r="C136" s="126">
        <v>8410</v>
      </c>
      <c r="D136" s="127" t="s">
        <v>237</v>
      </c>
      <c r="E136" s="127" t="s">
        <v>107</v>
      </c>
      <c r="F136" s="127" t="s">
        <v>64</v>
      </c>
      <c r="G136" s="127" t="s">
        <v>40</v>
      </c>
      <c r="H136" s="127">
        <v>50</v>
      </c>
      <c r="I136" s="128">
        <v>1</v>
      </c>
      <c r="J136" s="129">
        <f>ROUNDUP('Tarifa 2026'!J137*(1+Instructions!$AA$9),3)</f>
        <v>10.5</v>
      </c>
      <c r="K136" s="130">
        <f t="shared" si="7"/>
        <v>11.025</v>
      </c>
      <c r="L136" s="130" t="str">
        <f t="shared" si="8"/>
        <v>-</v>
      </c>
      <c r="M136" s="73"/>
      <c r="N136" s="74"/>
      <c r="O136"/>
      <c r="P136"/>
      <c r="Q136"/>
      <c r="R136"/>
    </row>
    <row r="137" spans="1:18" s="52" customFormat="1" ht="21.75" customHeight="1">
      <c r="A137" s="111">
        <v>115</v>
      </c>
      <c r="B137" s="66" t="s">
        <v>53</v>
      </c>
      <c r="C137" s="112">
        <v>8413</v>
      </c>
      <c r="D137" s="91" t="s">
        <v>238</v>
      </c>
      <c r="E137" s="91" t="s">
        <v>107</v>
      </c>
      <c r="F137" s="91" t="s">
        <v>64</v>
      </c>
      <c r="G137" s="91" t="s">
        <v>40</v>
      </c>
      <c r="H137" s="91">
        <v>25</v>
      </c>
      <c r="I137" s="113">
        <v>1</v>
      </c>
      <c r="J137" s="102">
        <f>ROUNDUP('Tarifa 2026'!J138*(1+Instructions!$AA$9),3)</f>
        <v>19.899999999999999</v>
      </c>
      <c r="K137" s="103">
        <f t="shared" si="7"/>
        <v>20.895</v>
      </c>
      <c r="L137" s="103" t="str">
        <f t="shared" si="8"/>
        <v>-</v>
      </c>
      <c r="M137" s="73"/>
      <c r="N137" s="74"/>
      <c r="O137"/>
      <c r="P137"/>
      <c r="Q137"/>
      <c r="R137"/>
    </row>
    <row r="138" spans="1:18" s="52" customFormat="1" ht="21.75" customHeight="1">
      <c r="A138" s="124">
        <v>115</v>
      </c>
      <c r="B138" s="125" t="s">
        <v>53</v>
      </c>
      <c r="C138" s="126">
        <v>8412</v>
      </c>
      <c r="D138" s="127" t="s">
        <v>239</v>
      </c>
      <c r="E138" s="127" t="s">
        <v>107</v>
      </c>
      <c r="F138" s="127" t="s">
        <v>64</v>
      </c>
      <c r="G138" s="127" t="s">
        <v>40</v>
      </c>
      <c r="H138" s="127">
        <v>15</v>
      </c>
      <c r="I138" s="128">
        <v>1</v>
      </c>
      <c r="J138" s="129">
        <f>ROUNDUP('Tarifa 2026'!J139*(1+Instructions!$AA$9),3)</f>
        <v>19.899999999999999</v>
      </c>
      <c r="K138" s="130">
        <f t="shared" si="7"/>
        <v>20.895</v>
      </c>
      <c r="L138" s="130" t="str">
        <f t="shared" si="8"/>
        <v>-</v>
      </c>
      <c r="M138" s="73"/>
      <c r="N138" s="74"/>
      <c r="O138"/>
      <c r="P138"/>
      <c r="Q138"/>
      <c r="R138"/>
    </row>
    <row r="139" spans="1:18" s="52" customFormat="1" ht="21.75" customHeight="1">
      <c r="A139" s="111">
        <v>117</v>
      </c>
      <c r="B139" s="66" t="s">
        <v>53</v>
      </c>
      <c r="C139" s="112">
        <v>8414</v>
      </c>
      <c r="D139" s="91" t="s">
        <v>240</v>
      </c>
      <c r="E139" s="91" t="s">
        <v>107</v>
      </c>
      <c r="F139" s="91" t="s">
        <v>64</v>
      </c>
      <c r="G139" s="91" t="s">
        <v>40</v>
      </c>
      <c r="H139" s="91">
        <v>20</v>
      </c>
      <c r="I139" s="113">
        <v>1</v>
      </c>
      <c r="J139" s="102">
        <f>ROUNDUP('Tarifa 2026'!J140*(1+Instructions!$AA$9),3)</f>
        <v>23.9</v>
      </c>
      <c r="K139" s="103">
        <f t="shared" si="7"/>
        <v>25.094999999999999</v>
      </c>
      <c r="L139" s="103" t="str">
        <f t="shared" si="8"/>
        <v>-</v>
      </c>
      <c r="M139" s="73"/>
      <c r="N139" s="74"/>
      <c r="O139"/>
      <c r="P139"/>
      <c r="Q139"/>
      <c r="R139"/>
    </row>
    <row r="140" spans="1:18" s="52" customFormat="1" ht="21.75" customHeight="1">
      <c r="A140" s="124">
        <v>118</v>
      </c>
      <c r="B140" s="125" t="s">
        <v>53</v>
      </c>
      <c r="C140" s="126">
        <v>8409</v>
      </c>
      <c r="D140" s="127" t="s">
        <v>241</v>
      </c>
      <c r="E140" s="127" t="s">
        <v>107</v>
      </c>
      <c r="F140" s="127" t="s">
        <v>64</v>
      </c>
      <c r="G140" s="127" t="s">
        <v>40</v>
      </c>
      <c r="H140" s="127">
        <v>50</v>
      </c>
      <c r="I140" s="128">
        <v>1</v>
      </c>
      <c r="J140" s="129">
        <f>ROUNDUP('Tarifa 2026'!J141*(1+Instructions!$AA$9),3)</f>
        <v>17.899999999999999</v>
      </c>
      <c r="K140" s="130">
        <f t="shared" si="7"/>
        <v>18.795000000000002</v>
      </c>
      <c r="L140" s="130" t="str">
        <f t="shared" si="8"/>
        <v>-</v>
      </c>
      <c r="M140" s="73"/>
      <c r="N140" s="74"/>
      <c r="O140"/>
      <c r="P140"/>
      <c r="Q140"/>
      <c r="R140"/>
    </row>
    <row r="141" spans="1:18" s="51" customFormat="1" ht="21.75" customHeight="1">
      <c r="A141" s="111">
        <v>118</v>
      </c>
      <c r="B141" s="66" t="s">
        <v>53</v>
      </c>
      <c r="C141" s="112">
        <v>8408</v>
      </c>
      <c r="D141" s="91" t="s">
        <v>242</v>
      </c>
      <c r="E141" s="91" t="s">
        <v>107</v>
      </c>
      <c r="F141" s="91" t="s">
        <v>147</v>
      </c>
      <c r="G141" s="91" t="s">
        <v>40</v>
      </c>
      <c r="H141" s="91">
        <v>25</v>
      </c>
      <c r="I141" s="113">
        <v>1</v>
      </c>
      <c r="J141" s="102">
        <f>ROUNDUP('Tarifa 2026'!J142*(1+Instructions!$AA$9),3)</f>
        <v>21.9</v>
      </c>
      <c r="K141" s="103">
        <f t="shared" si="7"/>
        <v>22.995000000000001</v>
      </c>
      <c r="L141" s="103" t="str">
        <f t="shared" si="8"/>
        <v>-</v>
      </c>
      <c r="M141" s="73"/>
      <c r="N141" s="74"/>
      <c r="O141"/>
      <c r="P141"/>
      <c r="Q141"/>
      <c r="R141"/>
    </row>
    <row r="142" spans="1:18" s="51" customFormat="1" ht="21.75" customHeight="1">
      <c r="A142" s="286" t="s">
        <v>243</v>
      </c>
      <c r="B142" s="286"/>
      <c r="C142" s="286"/>
      <c r="D142" s="286"/>
      <c r="E142" s="286"/>
      <c r="F142" s="286"/>
      <c r="G142" s="286"/>
      <c r="H142" s="286"/>
      <c r="I142" s="286"/>
      <c r="J142" s="286"/>
      <c r="K142" s="286"/>
      <c r="L142" s="286"/>
      <c r="M142" s="73"/>
      <c r="N142" s="74"/>
      <c r="O142"/>
      <c r="P142"/>
      <c r="Q142"/>
      <c r="R142"/>
    </row>
    <row r="143" spans="1:18" s="51" customFormat="1" ht="21.75" customHeight="1">
      <c r="A143" s="131">
        <v>124</v>
      </c>
      <c r="B143" s="132" t="s">
        <v>53</v>
      </c>
      <c r="C143" s="133">
        <v>9085</v>
      </c>
      <c r="D143" s="134" t="s">
        <v>244</v>
      </c>
      <c r="E143" s="134" t="s">
        <v>39</v>
      </c>
      <c r="F143" s="134" t="s">
        <v>64</v>
      </c>
      <c r="G143" s="134" t="s">
        <v>84</v>
      </c>
      <c r="H143" s="134">
        <v>50</v>
      </c>
      <c r="I143" s="135">
        <v>1</v>
      </c>
      <c r="J143" s="136">
        <f>ROUNDUP('Tarifa 2026'!J144*(1+Instructions!$AA$9),3)</f>
        <v>13</v>
      </c>
      <c r="K143" s="137">
        <f t="shared" si="7"/>
        <v>13.65</v>
      </c>
      <c r="L143" s="137" t="str">
        <f t="shared" si="8"/>
        <v>-</v>
      </c>
      <c r="M143" s="73"/>
      <c r="N143" s="74"/>
      <c r="O143"/>
      <c r="P143"/>
      <c r="Q143"/>
      <c r="R143"/>
    </row>
    <row r="144" spans="1:18" s="51" customFormat="1" ht="21.75" customHeight="1">
      <c r="A144" s="93">
        <v>124</v>
      </c>
      <c r="B144" s="90" t="s">
        <v>53</v>
      </c>
      <c r="C144" s="94">
        <v>9084</v>
      </c>
      <c r="D144" s="95" t="s">
        <v>245</v>
      </c>
      <c r="E144" s="95" t="s">
        <v>41</v>
      </c>
      <c r="F144" s="95" t="s">
        <v>64</v>
      </c>
      <c r="G144" s="95" t="s">
        <v>84</v>
      </c>
      <c r="H144" s="95">
        <v>50</v>
      </c>
      <c r="I144" s="96">
        <v>1</v>
      </c>
      <c r="J144" s="102">
        <f>ROUNDUP('Tarifa 2026'!J145*(1+Instructions!$AA$9),3)</f>
        <v>13</v>
      </c>
      <c r="K144" s="103">
        <f t="shared" si="7"/>
        <v>13.65</v>
      </c>
      <c r="L144" s="103" t="str">
        <f t="shared" si="8"/>
        <v>-</v>
      </c>
      <c r="M144" s="73"/>
      <c r="N144" s="74"/>
      <c r="O144"/>
      <c r="P144"/>
      <c r="Q144"/>
      <c r="R144"/>
    </row>
    <row r="145" spans="1:18" s="51" customFormat="1" ht="24.95" customHeight="1">
      <c r="A145" s="131">
        <v>126</v>
      </c>
      <c r="B145" s="132" t="s">
        <v>53</v>
      </c>
      <c r="C145" s="133">
        <v>9086</v>
      </c>
      <c r="D145" s="134" t="s">
        <v>246</v>
      </c>
      <c r="E145" s="134" t="s">
        <v>107</v>
      </c>
      <c r="F145" s="134" t="s">
        <v>64</v>
      </c>
      <c r="G145" s="134" t="s">
        <v>84</v>
      </c>
      <c r="H145" s="134">
        <v>50</v>
      </c>
      <c r="I145" s="135">
        <v>1</v>
      </c>
      <c r="J145" s="136">
        <f>ROUNDUP('Tarifa 2026'!J146*(1+Instructions!$AA$9),3)</f>
        <v>17</v>
      </c>
      <c r="K145" s="137">
        <f t="shared" si="7"/>
        <v>17.850000000000001</v>
      </c>
      <c r="L145" s="137" t="str">
        <f t="shared" si="8"/>
        <v>-</v>
      </c>
      <c r="M145" s="73"/>
      <c r="N145" s="74"/>
      <c r="O145"/>
      <c r="P145"/>
      <c r="Q145"/>
      <c r="R145"/>
    </row>
    <row r="146" spans="1:18" s="51" customFormat="1" ht="24.95" customHeight="1">
      <c r="A146" s="93">
        <v>129</v>
      </c>
      <c r="B146" s="90" t="s">
        <v>53</v>
      </c>
      <c r="C146" s="94">
        <v>9098</v>
      </c>
      <c r="D146" s="95" t="s">
        <v>247</v>
      </c>
      <c r="E146" s="95" t="s">
        <v>107</v>
      </c>
      <c r="F146" s="95" t="s">
        <v>177</v>
      </c>
      <c r="G146" s="95" t="s">
        <v>84</v>
      </c>
      <c r="H146" s="95">
        <v>50</v>
      </c>
      <c r="I146" s="96">
        <v>1</v>
      </c>
      <c r="J146" s="102">
        <f>ROUNDUP('Tarifa 2026'!J147*(1+Instructions!$AA$9),3)</f>
        <v>10.6</v>
      </c>
      <c r="K146" s="103">
        <f t="shared" si="7"/>
        <v>11.13</v>
      </c>
      <c r="L146" s="103" t="str">
        <f t="shared" si="8"/>
        <v>-</v>
      </c>
      <c r="M146" s="73"/>
      <c r="N146" s="74"/>
      <c r="O146"/>
      <c r="P146"/>
      <c r="Q146"/>
      <c r="R146"/>
    </row>
    <row r="147" spans="1:18" s="51" customFormat="1" ht="24.95" customHeight="1">
      <c r="A147" s="131">
        <v>129</v>
      </c>
      <c r="B147" s="132" t="s">
        <v>53</v>
      </c>
      <c r="C147" s="133">
        <v>9087</v>
      </c>
      <c r="D147" s="134" t="s">
        <v>248</v>
      </c>
      <c r="E147" s="134" t="s">
        <v>107</v>
      </c>
      <c r="F147" s="134" t="s">
        <v>80</v>
      </c>
      <c r="G147" s="134" t="s">
        <v>84</v>
      </c>
      <c r="H147" s="134">
        <v>50</v>
      </c>
      <c r="I147" s="135">
        <v>1</v>
      </c>
      <c r="J147" s="136">
        <f>ROUNDUP('Tarifa 2026'!J149*(1+Instructions!$AA$9),3)</f>
        <v>11.5</v>
      </c>
      <c r="K147" s="137">
        <f t="shared" si="7"/>
        <v>12.074999999999999</v>
      </c>
      <c r="L147" s="137" t="str">
        <f t="shared" si="8"/>
        <v>-</v>
      </c>
      <c r="M147" s="73"/>
      <c r="N147" s="74"/>
      <c r="O147"/>
      <c r="P147"/>
      <c r="Q147"/>
      <c r="R147"/>
    </row>
    <row r="148" spans="1:18" s="51" customFormat="1" ht="24.95" customHeight="1">
      <c r="A148" s="93">
        <v>129</v>
      </c>
      <c r="B148" s="90" t="s">
        <v>53</v>
      </c>
      <c r="C148" s="94">
        <v>9097</v>
      </c>
      <c r="D148" s="95" t="s">
        <v>249</v>
      </c>
      <c r="E148" s="95" t="s">
        <v>107</v>
      </c>
      <c r="F148" s="95" t="s">
        <v>177</v>
      </c>
      <c r="G148" s="95" t="s">
        <v>84</v>
      </c>
      <c r="H148" s="95">
        <v>50</v>
      </c>
      <c r="I148" s="96">
        <v>1</v>
      </c>
      <c r="J148" s="102">
        <f>ROUNDUP('Tarifa 2026'!J148*(1+Instructions!$AA$9),3)</f>
        <v>10.6</v>
      </c>
      <c r="K148" s="103">
        <f t="shared" si="7"/>
        <v>11.13</v>
      </c>
      <c r="L148" s="103" t="str">
        <f t="shared" si="8"/>
        <v>-</v>
      </c>
      <c r="M148" s="73"/>
      <c r="N148" s="74"/>
      <c r="O148"/>
      <c r="P148"/>
      <c r="Q148"/>
      <c r="R148"/>
    </row>
    <row r="149" spans="1:18" s="51" customFormat="1" ht="24.95" customHeight="1">
      <c r="A149" s="131">
        <v>130</v>
      </c>
      <c r="B149" s="132" t="s">
        <v>53</v>
      </c>
      <c r="C149" s="133">
        <v>9094</v>
      </c>
      <c r="D149" s="134" t="s">
        <v>250</v>
      </c>
      <c r="E149" s="134" t="s">
        <v>107</v>
      </c>
      <c r="F149" s="134" t="s">
        <v>177</v>
      </c>
      <c r="G149" s="134" t="s">
        <v>44</v>
      </c>
      <c r="H149" s="134">
        <v>50</v>
      </c>
      <c r="I149" s="135">
        <v>1</v>
      </c>
      <c r="J149" s="136">
        <f>ROUNDUP('Tarifa 2026'!J150*(1+Instructions!$AA$9),3)</f>
        <v>15.9</v>
      </c>
      <c r="K149" s="137">
        <f t="shared" si="7"/>
        <v>16.695</v>
      </c>
      <c r="L149" s="137" t="str">
        <f t="shared" si="8"/>
        <v>-</v>
      </c>
      <c r="M149" s="73"/>
      <c r="N149" s="74"/>
      <c r="O149"/>
      <c r="P149"/>
      <c r="Q149"/>
      <c r="R149"/>
    </row>
    <row r="150" spans="1:18" s="51" customFormat="1" ht="24.95" customHeight="1">
      <c r="A150" s="93">
        <v>130</v>
      </c>
      <c r="B150" s="90" t="s">
        <v>53</v>
      </c>
      <c r="C150" s="94">
        <v>9093</v>
      </c>
      <c r="D150" s="95" t="s">
        <v>251</v>
      </c>
      <c r="E150" s="95" t="s">
        <v>41</v>
      </c>
      <c r="F150" s="95" t="s">
        <v>62</v>
      </c>
      <c r="G150" s="95" t="s">
        <v>44</v>
      </c>
      <c r="H150" s="95">
        <v>50</v>
      </c>
      <c r="I150" s="96">
        <v>1</v>
      </c>
      <c r="J150" s="102">
        <f>ROUNDUP('Tarifa 2026'!J151*(1+Instructions!$AA$9),3)</f>
        <v>15.9</v>
      </c>
      <c r="K150" s="103">
        <f t="shared" si="7"/>
        <v>16.695</v>
      </c>
      <c r="L150" s="103" t="str">
        <f t="shared" si="8"/>
        <v>-</v>
      </c>
      <c r="M150" s="73"/>
      <c r="N150" s="74"/>
      <c r="O150"/>
      <c r="P150"/>
      <c r="Q150"/>
      <c r="R150"/>
    </row>
    <row r="151" spans="1:18" s="51" customFormat="1" ht="24.95" customHeight="1">
      <c r="A151" s="131">
        <v>130</v>
      </c>
      <c r="B151" s="132" t="s">
        <v>53</v>
      </c>
      <c r="C151" s="133">
        <v>9082</v>
      </c>
      <c r="D151" s="134" t="s">
        <v>252</v>
      </c>
      <c r="E151" s="134" t="s">
        <v>107</v>
      </c>
      <c r="F151" s="134" t="s">
        <v>253</v>
      </c>
      <c r="G151" s="134" t="s">
        <v>84</v>
      </c>
      <c r="H151" s="134">
        <v>300</v>
      </c>
      <c r="I151" s="135">
        <v>5</v>
      </c>
      <c r="J151" s="136">
        <f>ROUNDUP('Tarifa 2026'!J152*(1+Instructions!$AA$9),3)</f>
        <v>7</v>
      </c>
      <c r="K151" s="137">
        <f t="shared" si="7"/>
        <v>7.35</v>
      </c>
      <c r="L151" s="137">
        <f t="shared" si="8"/>
        <v>8.4</v>
      </c>
      <c r="M151" s="73"/>
      <c r="N151" s="74"/>
      <c r="O151"/>
      <c r="P151"/>
      <c r="Q151"/>
      <c r="R151"/>
    </row>
    <row r="152" spans="1:18" s="51" customFormat="1" ht="24.95" customHeight="1">
      <c r="A152" s="93">
        <v>132</v>
      </c>
      <c r="B152" s="90" t="s">
        <v>53</v>
      </c>
      <c r="C152" s="94">
        <v>9105</v>
      </c>
      <c r="D152" s="95" t="s">
        <v>254</v>
      </c>
      <c r="E152" s="95" t="s">
        <v>39</v>
      </c>
      <c r="F152" s="95" t="s">
        <v>64</v>
      </c>
      <c r="G152" s="95" t="s">
        <v>84</v>
      </c>
      <c r="H152" s="95">
        <v>50</v>
      </c>
      <c r="I152" s="96">
        <v>1</v>
      </c>
      <c r="J152" s="102">
        <f>ROUNDUP('Tarifa 2026'!J153*(1+Instructions!$AA$9),3)</f>
        <v>24.5</v>
      </c>
      <c r="K152" s="103">
        <f t="shared" si="7"/>
        <v>25.725000000000001</v>
      </c>
      <c r="L152" s="103" t="str">
        <f t="shared" si="8"/>
        <v>-</v>
      </c>
      <c r="M152" s="73"/>
      <c r="N152" s="74"/>
      <c r="O152"/>
      <c r="P152"/>
      <c r="Q152"/>
      <c r="R152"/>
    </row>
    <row r="153" spans="1:18" s="51" customFormat="1" ht="24.95" customHeight="1">
      <c r="A153" s="287" t="s">
        <v>255</v>
      </c>
      <c r="B153" s="287"/>
      <c r="C153" s="287"/>
      <c r="D153" s="287"/>
      <c r="E153" s="287"/>
      <c r="F153" s="287"/>
      <c r="G153" s="287"/>
      <c r="H153" s="287"/>
      <c r="I153" s="287"/>
      <c r="J153" s="287"/>
      <c r="K153" s="287"/>
      <c r="L153" s="287"/>
      <c r="M153" s="73"/>
      <c r="N153" s="74"/>
      <c r="O153"/>
      <c r="P153"/>
      <c r="Q153"/>
      <c r="R153"/>
    </row>
    <row r="154" spans="1:18" s="51" customFormat="1" ht="24.95" customHeight="1">
      <c r="A154" s="279">
        <v>138</v>
      </c>
      <c r="B154" s="280" t="s">
        <v>53</v>
      </c>
      <c r="C154" s="281">
        <v>8403</v>
      </c>
      <c r="D154" s="282" t="s">
        <v>256</v>
      </c>
      <c r="E154" s="141" t="s">
        <v>107</v>
      </c>
      <c r="F154" s="141" t="s">
        <v>62</v>
      </c>
      <c r="G154" s="141" t="s">
        <v>44</v>
      </c>
      <c r="H154" s="282">
        <v>50</v>
      </c>
      <c r="I154" s="283">
        <v>1</v>
      </c>
      <c r="J154" s="145">
        <f>ROUNDUP('Tarifa 2026'!J155*(1+Instructions!$AA$9),3)</f>
        <v>8.8000000000000007</v>
      </c>
      <c r="K154" s="146">
        <f t="shared" si="7"/>
        <v>9.24</v>
      </c>
      <c r="L154" s="146" t="str">
        <f>IF(I154=1,"-",IF(AND(I154="",L152="-"),"-",ROUNDUP((J154*0.2)+J154,3)))</f>
        <v>-</v>
      </c>
      <c r="M154" s="73"/>
      <c r="N154" s="74"/>
      <c r="O154"/>
      <c r="P154"/>
      <c r="Q154"/>
      <c r="R154"/>
    </row>
    <row r="155" spans="1:18" ht="21.75" customHeight="1">
      <c r="A155" s="279"/>
      <c r="B155" s="280"/>
      <c r="C155" s="281"/>
      <c r="D155" s="282"/>
      <c r="E155" s="141" t="s">
        <v>107</v>
      </c>
      <c r="F155" s="143" t="s">
        <v>78</v>
      </c>
      <c r="G155" s="141" t="s">
        <v>44</v>
      </c>
      <c r="H155" s="282"/>
      <c r="I155" s="283"/>
      <c r="J155" s="145">
        <f>ROUNDUP('Tarifa 2026'!J156*(1+Instructions!$AA$9),3)</f>
        <v>9.3000000000000007</v>
      </c>
      <c r="K155" s="146">
        <f t="shared" si="7"/>
        <v>9.7650000000000006</v>
      </c>
      <c r="L155" s="146" t="str">
        <f>IF(I155=1,"-",IF(AND(I155="",L154="-"),"-",ROUNDUP((J155*0.2)+J155,3)))</f>
        <v>-</v>
      </c>
      <c r="M155" s="73"/>
      <c r="N155" s="74"/>
    </row>
    <row r="156" spans="1:18" ht="21.75" customHeight="1">
      <c r="A156" s="279"/>
      <c r="B156" s="280"/>
      <c r="C156" s="281"/>
      <c r="D156" s="282"/>
      <c r="E156" s="141" t="s">
        <v>107</v>
      </c>
      <c r="F156" s="143" t="s">
        <v>79</v>
      </c>
      <c r="G156" s="141" t="s">
        <v>44</v>
      </c>
      <c r="H156" s="282"/>
      <c r="I156" s="283"/>
      <c r="J156" s="145">
        <f>ROUNDUP('Tarifa 2026'!J157*(1+Instructions!$AA$9),3)</f>
        <v>9.8000000000000007</v>
      </c>
      <c r="K156" s="146">
        <f t="shared" si="7"/>
        <v>10.29</v>
      </c>
      <c r="L156" s="146" t="str">
        <f t="shared" si="8"/>
        <v>-</v>
      </c>
      <c r="M156" s="73"/>
      <c r="N156" s="74"/>
    </row>
    <row r="157" spans="1:18" ht="21.75" customHeight="1">
      <c r="A157" s="279"/>
      <c r="B157" s="280"/>
      <c r="C157" s="281"/>
      <c r="D157" s="282"/>
      <c r="E157" s="141" t="s">
        <v>107</v>
      </c>
      <c r="F157" s="141" t="s">
        <v>62</v>
      </c>
      <c r="G157" s="141" t="s">
        <v>40</v>
      </c>
      <c r="H157" s="282"/>
      <c r="I157" s="283"/>
      <c r="J157" s="145">
        <f>ROUNDUP('Tarifa 2026'!J158*(1+Instructions!$AA$9),3)</f>
        <v>9.9</v>
      </c>
      <c r="K157" s="146">
        <f t="shared" si="7"/>
        <v>10.395</v>
      </c>
      <c r="L157" s="146" t="str">
        <f t="shared" si="8"/>
        <v>-</v>
      </c>
      <c r="M157" s="73"/>
      <c r="N157" s="74"/>
    </row>
    <row r="158" spans="1:18" ht="21.75" customHeight="1">
      <c r="A158" s="279"/>
      <c r="B158" s="280"/>
      <c r="C158" s="281"/>
      <c r="D158" s="282"/>
      <c r="E158" s="141" t="s">
        <v>107</v>
      </c>
      <c r="F158" s="143" t="s">
        <v>78</v>
      </c>
      <c r="G158" s="141" t="s">
        <v>40</v>
      </c>
      <c r="H158" s="282"/>
      <c r="I158" s="283"/>
      <c r="J158" s="145">
        <f>ROUNDUP('Tarifa 2026'!J159*(1+Instructions!$AA$9),3)</f>
        <v>10.4</v>
      </c>
      <c r="K158" s="146">
        <f t="shared" si="7"/>
        <v>10.92</v>
      </c>
      <c r="L158" s="146" t="str">
        <f t="shared" si="8"/>
        <v>-</v>
      </c>
      <c r="M158" s="73"/>
      <c r="N158" s="74"/>
    </row>
    <row r="159" spans="1:18" ht="21.75" customHeight="1">
      <c r="A159" s="279"/>
      <c r="B159" s="280"/>
      <c r="C159" s="281"/>
      <c r="D159" s="282"/>
      <c r="E159" s="141" t="s">
        <v>107</v>
      </c>
      <c r="F159" s="143" t="s">
        <v>79</v>
      </c>
      <c r="G159" s="141" t="s">
        <v>40</v>
      </c>
      <c r="H159" s="282"/>
      <c r="I159" s="283"/>
      <c r="J159" s="145">
        <f>ROUNDUP('Tarifa 2026'!J160*(1+Instructions!$AA$9),3)</f>
        <v>11</v>
      </c>
      <c r="K159" s="146">
        <f t="shared" si="7"/>
        <v>11.55</v>
      </c>
      <c r="L159" s="146" t="str">
        <f t="shared" si="8"/>
        <v>-</v>
      </c>
      <c r="M159" s="73"/>
      <c r="N159" s="74"/>
    </row>
    <row r="160" spans="1:18" ht="21.75" customHeight="1">
      <c r="A160" s="272">
        <v>138</v>
      </c>
      <c r="B160" s="284" t="s">
        <v>53</v>
      </c>
      <c r="C160" s="274">
        <v>8404</v>
      </c>
      <c r="D160" s="259" t="s">
        <v>257</v>
      </c>
      <c r="E160" s="95" t="s">
        <v>107</v>
      </c>
      <c r="F160" s="95" t="s">
        <v>62</v>
      </c>
      <c r="G160" s="95" t="s">
        <v>44</v>
      </c>
      <c r="H160" s="259">
        <v>25</v>
      </c>
      <c r="I160" s="260">
        <v>1</v>
      </c>
      <c r="J160" s="102">
        <f>ROUNDUP('Tarifa 2026'!J161*(1+Instructions!$AA$9),3)</f>
        <v>12.4</v>
      </c>
      <c r="K160" s="103">
        <f t="shared" si="7"/>
        <v>13.02</v>
      </c>
      <c r="L160" s="103" t="str">
        <f t="shared" si="8"/>
        <v>-</v>
      </c>
      <c r="M160" s="73"/>
      <c r="N160" s="74"/>
    </row>
    <row r="161" spans="1:45" ht="21.75" customHeight="1">
      <c r="A161" s="272"/>
      <c r="B161" s="284"/>
      <c r="C161" s="274"/>
      <c r="D161" s="259"/>
      <c r="E161" s="95" t="s">
        <v>107</v>
      </c>
      <c r="F161" s="123" t="s">
        <v>78</v>
      </c>
      <c r="G161" s="95" t="s">
        <v>44</v>
      </c>
      <c r="H161" s="259"/>
      <c r="I161" s="260"/>
      <c r="J161" s="102">
        <f>ROUNDUP('Tarifa 2026'!J162*(1+Instructions!$AA$9),3)</f>
        <v>13</v>
      </c>
      <c r="K161" s="103">
        <f t="shared" si="7"/>
        <v>13.65</v>
      </c>
      <c r="L161" s="103" t="str">
        <f t="shared" si="8"/>
        <v>-</v>
      </c>
      <c r="M161" s="73"/>
      <c r="N161" s="74"/>
    </row>
    <row r="162" spans="1:45" ht="21.75" customHeight="1">
      <c r="A162" s="272"/>
      <c r="B162" s="284"/>
      <c r="C162" s="274"/>
      <c r="D162" s="259"/>
      <c r="E162" s="95" t="s">
        <v>107</v>
      </c>
      <c r="F162" s="123" t="s">
        <v>79</v>
      </c>
      <c r="G162" s="95" t="s">
        <v>44</v>
      </c>
      <c r="H162" s="259"/>
      <c r="I162" s="260"/>
      <c r="J162" s="102">
        <f>ROUNDUP('Tarifa 2026'!J163*(1+Instructions!$AA$9),3)</f>
        <v>13.7</v>
      </c>
      <c r="K162" s="103">
        <f t="shared" si="7"/>
        <v>14.385</v>
      </c>
      <c r="L162" s="103" t="str">
        <f t="shared" si="8"/>
        <v>-</v>
      </c>
      <c r="M162" s="73"/>
      <c r="N162" s="74"/>
    </row>
    <row r="163" spans="1:45" ht="21.75" customHeight="1">
      <c r="A163" s="272"/>
      <c r="B163" s="284"/>
      <c r="C163" s="274"/>
      <c r="D163" s="259"/>
      <c r="E163" s="95" t="s">
        <v>107</v>
      </c>
      <c r="F163" s="95" t="s">
        <v>62</v>
      </c>
      <c r="G163" s="95" t="s">
        <v>40</v>
      </c>
      <c r="H163" s="259"/>
      <c r="I163" s="260"/>
      <c r="J163" s="102">
        <f>ROUNDUP('Tarifa 2026'!J164*(1+Instructions!$AA$9),3)</f>
        <v>12.4</v>
      </c>
      <c r="K163" s="103">
        <f t="shared" si="7"/>
        <v>13.02</v>
      </c>
      <c r="L163" s="103" t="str">
        <f t="shared" si="8"/>
        <v>-</v>
      </c>
      <c r="M163" s="73"/>
      <c r="N163" s="74"/>
    </row>
    <row r="164" spans="1:45" ht="21.75" customHeight="1">
      <c r="A164" s="272"/>
      <c r="B164" s="284"/>
      <c r="C164" s="274"/>
      <c r="D164" s="259"/>
      <c r="E164" s="95" t="s">
        <v>107</v>
      </c>
      <c r="F164" s="123" t="s">
        <v>78</v>
      </c>
      <c r="G164" s="95" t="s">
        <v>40</v>
      </c>
      <c r="H164" s="259"/>
      <c r="I164" s="260"/>
      <c r="J164" s="102">
        <f>ROUNDUP('Tarifa 2026'!J165*(1+Instructions!$AA$9),3)</f>
        <v>13</v>
      </c>
      <c r="K164" s="103">
        <f t="shared" si="7"/>
        <v>13.65</v>
      </c>
      <c r="L164" s="103" t="str">
        <f t="shared" si="8"/>
        <v>-</v>
      </c>
      <c r="M164" s="73"/>
      <c r="N164" s="74"/>
    </row>
    <row r="165" spans="1:45" s="6" customFormat="1" ht="21.75" customHeight="1">
      <c r="A165" s="272"/>
      <c r="B165" s="284"/>
      <c r="C165" s="274"/>
      <c r="D165" s="259"/>
      <c r="E165" s="95" t="s">
        <v>107</v>
      </c>
      <c r="F165" s="123" t="s">
        <v>79</v>
      </c>
      <c r="G165" s="95" t="s">
        <v>40</v>
      </c>
      <c r="H165" s="259"/>
      <c r="I165" s="260"/>
      <c r="J165" s="102">
        <f>ROUNDUP('Tarifa 2026'!J166*(1+Instructions!$AA$9),3)</f>
        <v>13.7</v>
      </c>
      <c r="K165" s="103">
        <f t="shared" si="7"/>
        <v>14.385</v>
      </c>
      <c r="L165" s="103" t="str">
        <f t="shared" si="8"/>
        <v>-</v>
      </c>
      <c r="M165" s="73"/>
      <c r="N165" s="74"/>
      <c r="O165"/>
      <c r="P165"/>
      <c r="Q165"/>
      <c r="R165"/>
      <c r="S165"/>
      <c r="T165"/>
      <c r="U165"/>
      <c r="V165"/>
      <c r="W165"/>
      <c r="X165"/>
      <c r="Y165"/>
      <c r="Z165"/>
      <c r="AA165"/>
      <c r="AB165"/>
      <c r="AC165"/>
      <c r="AD165"/>
      <c r="AE165"/>
      <c r="AF165"/>
      <c r="AG165"/>
      <c r="AH165"/>
      <c r="AI165"/>
      <c r="AJ165"/>
      <c r="AK165"/>
      <c r="AL165"/>
      <c r="AM165"/>
      <c r="AN165"/>
      <c r="AO165"/>
      <c r="AP165"/>
      <c r="AQ165"/>
      <c r="AR165"/>
      <c r="AS165"/>
    </row>
    <row r="166" spans="1:45" s="6" customFormat="1" ht="21.75" customHeight="1">
      <c r="A166" s="138">
        <v>141</v>
      </c>
      <c r="B166" s="139" t="s">
        <v>53</v>
      </c>
      <c r="C166" s="140">
        <v>9091</v>
      </c>
      <c r="D166" s="141" t="s">
        <v>258</v>
      </c>
      <c r="E166" s="141" t="s">
        <v>107</v>
      </c>
      <c r="F166" s="141" t="s">
        <v>253</v>
      </c>
      <c r="G166" s="141" t="s">
        <v>84</v>
      </c>
      <c r="H166" s="141">
        <v>50</v>
      </c>
      <c r="I166" s="142">
        <v>1</v>
      </c>
      <c r="J166" s="145">
        <f>ROUNDUP('Tarifa 2026'!J167*(1+Instructions!$AA$9),3)</f>
        <v>8.98</v>
      </c>
      <c r="K166" s="146">
        <f t="shared" ref="K166:K170" si="16">IF(I166=1,(ROUNDUP((J166*0.05+J166),3)),ROUNDUP((J166*0.05+J166),3))</f>
        <v>9.4290000000000003</v>
      </c>
      <c r="L166" s="146" t="str">
        <f t="shared" ref="L166:L170" si="17">IF(I166=1,"-",IF(AND(I166="",L164="-"),"-",ROUNDUP((J166*0.2)+J166,3)))</f>
        <v>-</v>
      </c>
      <c r="M166" s="73"/>
      <c r="N166" s="74"/>
      <c r="O166"/>
      <c r="P166"/>
      <c r="Q166"/>
      <c r="R166"/>
      <c r="S166"/>
      <c r="T166"/>
      <c r="U166"/>
      <c r="V166"/>
      <c r="W166"/>
      <c r="X166"/>
      <c r="Y166"/>
      <c r="Z166"/>
      <c r="AA166"/>
      <c r="AB166"/>
      <c r="AC166"/>
      <c r="AD166"/>
      <c r="AE166"/>
      <c r="AF166"/>
      <c r="AG166"/>
      <c r="AH166"/>
      <c r="AI166"/>
      <c r="AJ166"/>
      <c r="AK166"/>
      <c r="AL166"/>
      <c r="AM166"/>
      <c r="AN166"/>
      <c r="AO166"/>
      <c r="AP166"/>
      <c r="AQ166"/>
      <c r="AR166"/>
      <c r="AS166"/>
    </row>
    <row r="167" spans="1:45" s="6" customFormat="1" ht="21.75" customHeight="1">
      <c r="A167" s="111">
        <v>141</v>
      </c>
      <c r="B167" s="66" t="s">
        <v>53</v>
      </c>
      <c r="C167" s="112">
        <v>9092</v>
      </c>
      <c r="D167" s="91" t="s">
        <v>259</v>
      </c>
      <c r="E167" s="91" t="s">
        <v>39</v>
      </c>
      <c r="F167" s="91" t="s">
        <v>177</v>
      </c>
      <c r="G167" s="91" t="s">
        <v>44</v>
      </c>
      <c r="H167" s="91">
        <v>50</v>
      </c>
      <c r="I167" s="113">
        <v>1</v>
      </c>
      <c r="J167" s="102">
        <f>ROUNDUP('Tarifa 2026'!J168*(1+Instructions!$AA$9),3)</f>
        <v>15.9</v>
      </c>
      <c r="K167" s="103">
        <f t="shared" si="16"/>
        <v>16.695</v>
      </c>
      <c r="L167" s="103" t="str">
        <f t="shared" si="17"/>
        <v>-</v>
      </c>
      <c r="M167" s="73"/>
      <c r="N167" s="74"/>
      <c r="O167"/>
      <c r="P167"/>
      <c r="Q167"/>
      <c r="R167"/>
      <c r="S167"/>
      <c r="T167"/>
      <c r="U167"/>
      <c r="V167"/>
      <c r="W167"/>
      <c r="X167"/>
      <c r="Y167"/>
      <c r="Z167"/>
      <c r="AA167"/>
      <c r="AB167"/>
      <c r="AC167"/>
      <c r="AD167"/>
      <c r="AE167"/>
      <c r="AF167"/>
      <c r="AG167"/>
      <c r="AH167"/>
      <c r="AI167"/>
      <c r="AJ167"/>
      <c r="AK167"/>
      <c r="AL167"/>
      <c r="AM167"/>
      <c r="AN167"/>
      <c r="AO167"/>
      <c r="AP167"/>
      <c r="AQ167"/>
      <c r="AR167"/>
      <c r="AS167"/>
    </row>
    <row r="168" spans="1:45" s="6" customFormat="1" ht="21.75" customHeight="1">
      <c r="A168" s="138">
        <v>142</v>
      </c>
      <c r="B168" s="139" t="s">
        <v>53</v>
      </c>
      <c r="C168" s="140">
        <v>9083</v>
      </c>
      <c r="D168" s="141" t="s">
        <v>260</v>
      </c>
      <c r="E168" s="141" t="s">
        <v>107</v>
      </c>
      <c r="F168" s="141" t="s">
        <v>253</v>
      </c>
      <c r="G168" s="141" t="s">
        <v>84</v>
      </c>
      <c r="H168" s="141">
        <v>200</v>
      </c>
      <c r="I168" s="142">
        <v>10</v>
      </c>
      <c r="J168" s="145">
        <f>ROUNDUP('Tarifa 2026'!J169*(1+Instructions!$AA$9),3)</f>
        <v>3.18</v>
      </c>
      <c r="K168" s="146">
        <f t="shared" si="16"/>
        <v>3.339</v>
      </c>
      <c r="L168" s="146">
        <f t="shared" si="17"/>
        <v>3.8159999999999998</v>
      </c>
      <c r="M168" s="73"/>
      <c r="N168" s="74"/>
      <c r="O168"/>
      <c r="P168"/>
      <c r="Q168"/>
      <c r="R168"/>
      <c r="S168"/>
      <c r="T168"/>
      <c r="U168"/>
      <c r="V168"/>
      <c r="W168"/>
      <c r="X168"/>
      <c r="Y168"/>
      <c r="Z168"/>
      <c r="AA168"/>
      <c r="AB168"/>
      <c r="AC168"/>
      <c r="AD168"/>
      <c r="AE168"/>
      <c r="AF168"/>
      <c r="AG168"/>
      <c r="AH168"/>
      <c r="AI168"/>
      <c r="AJ168"/>
      <c r="AK168"/>
      <c r="AL168"/>
      <c r="AM168"/>
      <c r="AN168"/>
      <c r="AO168"/>
      <c r="AP168"/>
      <c r="AQ168"/>
      <c r="AR168"/>
      <c r="AS168"/>
    </row>
    <row r="169" spans="1:45" s="6" customFormat="1" ht="21.75" customHeight="1">
      <c r="A169" s="93">
        <v>142</v>
      </c>
      <c r="B169" s="144" t="s">
        <v>53</v>
      </c>
      <c r="C169" s="94">
        <v>9090</v>
      </c>
      <c r="D169" s="95" t="s">
        <v>261</v>
      </c>
      <c r="E169" s="95" t="s">
        <v>107</v>
      </c>
      <c r="F169" s="95" t="s">
        <v>262</v>
      </c>
      <c r="G169" s="95" t="s">
        <v>44</v>
      </c>
      <c r="H169" s="95">
        <v>300</v>
      </c>
      <c r="I169" s="96">
        <v>10</v>
      </c>
      <c r="J169" s="102">
        <f>ROUNDUP('Tarifa 2026'!J170*(1+Instructions!$AA$9),3)</f>
        <v>2.7</v>
      </c>
      <c r="K169" s="103">
        <f t="shared" si="16"/>
        <v>2.835</v>
      </c>
      <c r="L169" s="103">
        <f t="shared" si="17"/>
        <v>3.24</v>
      </c>
      <c r="M169" s="73"/>
      <c r="N169" s="74"/>
      <c r="O169"/>
      <c r="P169"/>
      <c r="Q169"/>
      <c r="R169"/>
      <c r="S169"/>
      <c r="T169"/>
      <c r="U169"/>
      <c r="V169"/>
      <c r="W169"/>
      <c r="X169"/>
      <c r="Y169"/>
      <c r="Z169"/>
      <c r="AA169"/>
      <c r="AB169"/>
      <c r="AC169"/>
      <c r="AD169"/>
      <c r="AE169"/>
      <c r="AF169"/>
      <c r="AG169"/>
      <c r="AH169"/>
      <c r="AI169"/>
      <c r="AJ169"/>
      <c r="AK169"/>
      <c r="AL169"/>
      <c r="AM169"/>
      <c r="AN169"/>
      <c r="AO169"/>
      <c r="AP169"/>
      <c r="AQ169"/>
      <c r="AR169"/>
      <c r="AS169"/>
    </row>
    <row r="170" spans="1:45" s="6" customFormat="1" ht="21.75" customHeight="1">
      <c r="A170" s="138">
        <v>144</v>
      </c>
      <c r="B170" s="139" t="s">
        <v>53</v>
      </c>
      <c r="C170" s="140">
        <v>9088</v>
      </c>
      <c r="D170" s="141" t="s">
        <v>263</v>
      </c>
      <c r="E170" s="141" t="s">
        <v>107</v>
      </c>
      <c r="F170" s="141" t="s">
        <v>177</v>
      </c>
      <c r="G170" s="141" t="s">
        <v>44</v>
      </c>
      <c r="H170" s="141">
        <v>50</v>
      </c>
      <c r="I170" s="142">
        <v>1</v>
      </c>
      <c r="J170" s="145">
        <f>ROUNDUP('Tarifa 2026'!J171*(1+Instructions!$AA$9),3)</f>
        <v>14.7</v>
      </c>
      <c r="K170" s="146">
        <f t="shared" si="16"/>
        <v>15.435</v>
      </c>
      <c r="L170" s="146" t="str">
        <f t="shared" si="17"/>
        <v>-</v>
      </c>
      <c r="M170" s="73"/>
      <c r="N170" s="74"/>
      <c r="O170"/>
      <c r="P170"/>
      <c r="Q170"/>
      <c r="R170"/>
      <c r="S170"/>
      <c r="T170"/>
      <c r="U170"/>
      <c r="V170"/>
      <c r="W170"/>
      <c r="X170"/>
      <c r="Y170"/>
      <c r="Z170"/>
      <c r="AA170"/>
      <c r="AB170"/>
      <c r="AC170"/>
      <c r="AD170"/>
      <c r="AE170"/>
      <c r="AF170"/>
      <c r="AG170"/>
      <c r="AH170"/>
      <c r="AI170"/>
      <c r="AJ170"/>
      <c r="AK170"/>
      <c r="AL170"/>
      <c r="AM170"/>
      <c r="AN170"/>
      <c r="AO170"/>
      <c r="AP170"/>
      <c r="AQ170"/>
      <c r="AR170"/>
      <c r="AS170"/>
    </row>
    <row r="171" spans="1:45" s="6" customFormat="1" ht="21.75" customHeight="1">
      <c r="A171" s="278" t="s">
        <v>264</v>
      </c>
      <c r="B171" s="278"/>
      <c r="C171" s="278"/>
      <c r="D171" s="278"/>
      <c r="E171" s="278"/>
      <c r="F171" s="278"/>
      <c r="G171" s="278"/>
      <c r="H171" s="278"/>
      <c r="I171" s="278"/>
      <c r="J171" s="278"/>
      <c r="K171" s="278"/>
      <c r="L171" s="278"/>
      <c r="M171" s="73"/>
      <c r="N171" s="74"/>
      <c r="O171"/>
      <c r="P171"/>
      <c r="Q171"/>
      <c r="R171"/>
      <c r="S171"/>
      <c r="T171"/>
      <c r="U171"/>
      <c r="V171"/>
      <c r="W171"/>
      <c r="X171"/>
      <c r="Y171"/>
      <c r="Z171"/>
      <c r="AA171"/>
      <c r="AB171"/>
      <c r="AC171"/>
      <c r="AD171"/>
      <c r="AE171"/>
      <c r="AF171"/>
      <c r="AG171"/>
      <c r="AH171"/>
      <c r="AI171"/>
      <c r="AJ171"/>
      <c r="AK171"/>
      <c r="AL171"/>
      <c r="AM171"/>
      <c r="AN171"/>
      <c r="AO171"/>
      <c r="AP171"/>
      <c r="AQ171"/>
      <c r="AR171"/>
      <c r="AS171"/>
    </row>
    <row r="172" spans="1:45" s="6" customFormat="1" ht="21.75" customHeight="1">
      <c r="A172" s="93">
        <v>150</v>
      </c>
      <c r="B172" s="90" t="s">
        <v>53</v>
      </c>
      <c r="C172" s="94">
        <v>4500</v>
      </c>
      <c r="D172" s="95" t="s">
        <v>265</v>
      </c>
      <c r="E172" s="95" t="s">
        <v>39</v>
      </c>
      <c r="F172" s="95" t="s">
        <v>177</v>
      </c>
      <c r="G172" s="95" t="s">
        <v>84</v>
      </c>
      <c r="H172" s="95">
        <v>50</v>
      </c>
      <c r="I172" s="96">
        <v>1</v>
      </c>
      <c r="J172" s="102">
        <f>ROUNDUP('Tarifa 2026'!J173*(1+Instructions!$AA$9),3)</f>
        <v>29.9</v>
      </c>
      <c r="K172" s="103">
        <f t="shared" ref="K172" si="18">IF(I172=1,(ROUNDUP((J172*0.05+J172),3)),ROUNDUP((J172*0.05+J172),3))</f>
        <v>31.395</v>
      </c>
      <c r="L172" s="103" t="str">
        <f t="shared" ref="L172" si="19">IF(I172=1,"-",IF(AND(I172="",L161="-"),"-",ROUNDUP((J172*0.2)+J172,3)))</f>
        <v>-</v>
      </c>
      <c r="M172" s="73"/>
      <c r="N172" s="74"/>
      <c r="O172"/>
      <c r="P172"/>
      <c r="Q172"/>
      <c r="R172"/>
      <c r="S172"/>
      <c r="T172"/>
      <c r="U172"/>
      <c r="V172"/>
      <c r="W172"/>
      <c r="X172"/>
      <c r="Y172"/>
      <c r="Z172"/>
      <c r="AA172"/>
      <c r="AB172"/>
      <c r="AC172"/>
      <c r="AD172"/>
      <c r="AE172"/>
      <c r="AF172"/>
      <c r="AG172"/>
      <c r="AH172"/>
      <c r="AI172"/>
      <c r="AJ172"/>
      <c r="AK172"/>
      <c r="AL172"/>
      <c r="AM172"/>
      <c r="AN172"/>
      <c r="AO172"/>
      <c r="AP172"/>
      <c r="AQ172"/>
      <c r="AR172"/>
      <c r="AS172"/>
    </row>
    <row r="173" spans="1:45" s="6" customFormat="1" ht="21.75" customHeight="1">
      <c r="A173" s="249">
        <v>153</v>
      </c>
      <c r="B173" s="276" t="s">
        <v>53</v>
      </c>
      <c r="C173" s="256">
        <v>5503</v>
      </c>
      <c r="D173" s="250" t="s">
        <v>266</v>
      </c>
      <c r="E173" s="150" t="s">
        <v>39</v>
      </c>
      <c r="F173" s="150" t="s">
        <v>62</v>
      </c>
      <c r="G173" s="150" t="s">
        <v>84</v>
      </c>
      <c r="H173" s="250">
        <v>36</v>
      </c>
      <c r="I173" s="251">
        <v>1</v>
      </c>
      <c r="J173" s="152">
        <f>ROUNDUP('Tarifa 2026'!J174*(1+Instructions!$AA$9),3)</f>
        <v>13.9</v>
      </c>
      <c r="K173" s="153">
        <f t="shared" ref="K173:K212" si="20">IF(I173=1,(ROUNDUP((J173*0.05+J173),3)),ROUNDUP((J173*0.05+J173),3))</f>
        <v>14.595000000000001</v>
      </c>
      <c r="L173" s="153" t="str">
        <f t="shared" ref="L173:L212" si="21">IF(I173=1,"-",IF(AND(I173="",L162="-"),"-",ROUNDUP((J173*0.2)+J173,3)))</f>
        <v>-</v>
      </c>
      <c r="M173" s="73"/>
      <c r="N173" s="74"/>
      <c r="O173"/>
      <c r="P173"/>
      <c r="Q173"/>
      <c r="R173"/>
      <c r="S173"/>
      <c r="T173"/>
      <c r="U173"/>
      <c r="V173"/>
      <c r="W173"/>
      <c r="X173"/>
      <c r="Y173"/>
      <c r="Z173"/>
      <c r="AA173"/>
      <c r="AB173"/>
      <c r="AC173"/>
      <c r="AD173"/>
      <c r="AE173"/>
      <c r="AF173"/>
      <c r="AG173"/>
      <c r="AH173"/>
      <c r="AI173"/>
      <c r="AJ173"/>
      <c r="AK173"/>
      <c r="AL173"/>
      <c r="AM173"/>
      <c r="AN173"/>
      <c r="AO173"/>
      <c r="AP173"/>
      <c r="AQ173"/>
      <c r="AR173"/>
      <c r="AS173"/>
    </row>
    <row r="174" spans="1:45" s="6" customFormat="1" ht="21.75" customHeight="1">
      <c r="A174" s="249"/>
      <c r="B174" s="276"/>
      <c r="C174" s="256"/>
      <c r="D174" s="250"/>
      <c r="E174" s="150" t="s">
        <v>39</v>
      </c>
      <c r="F174" s="150" t="s">
        <v>78</v>
      </c>
      <c r="G174" s="150" t="s">
        <v>84</v>
      </c>
      <c r="H174" s="250"/>
      <c r="I174" s="251"/>
      <c r="J174" s="152">
        <f>ROUNDUP('Tarifa 2026'!J175*(1+Instructions!$AA$9),3)</f>
        <v>15.3</v>
      </c>
      <c r="K174" s="153">
        <f t="shared" si="20"/>
        <v>16.065000000000001</v>
      </c>
      <c r="L174" s="153" t="str">
        <f t="shared" si="21"/>
        <v>-</v>
      </c>
      <c r="M174" s="73"/>
      <c r="N174" s="74"/>
      <c r="O174"/>
      <c r="P174"/>
      <c r="Q174"/>
      <c r="R174"/>
      <c r="S174"/>
      <c r="T174"/>
      <c r="U174"/>
      <c r="V174"/>
      <c r="W174"/>
      <c r="X174"/>
      <c r="Y174"/>
      <c r="Z174"/>
      <c r="AA174"/>
      <c r="AB174"/>
      <c r="AC174"/>
      <c r="AD174"/>
      <c r="AE174"/>
      <c r="AF174"/>
      <c r="AG174"/>
      <c r="AH174"/>
      <c r="AI174"/>
      <c r="AJ174"/>
      <c r="AK174"/>
      <c r="AL174"/>
      <c r="AM174"/>
      <c r="AN174"/>
      <c r="AO174"/>
      <c r="AP174"/>
      <c r="AQ174"/>
      <c r="AR174"/>
      <c r="AS174"/>
    </row>
    <row r="175" spans="1:45" s="6" customFormat="1" ht="21.75" customHeight="1">
      <c r="A175" s="258">
        <v>153</v>
      </c>
      <c r="B175" s="275" t="s">
        <v>53</v>
      </c>
      <c r="C175" s="257">
        <v>5061</v>
      </c>
      <c r="D175" s="252" t="s">
        <v>267</v>
      </c>
      <c r="E175" s="91" t="s">
        <v>41</v>
      </c>
      <c r="F175" s="91" t="s">
        <v>62</v>
      </c>
      <c r="G175" s="91" t="s">
        <v>84</v>
      </c>
      <c r="H175" s="252">
        <v>36</v>
      </c>
      <c r="I175" s="253">
        <v>1</v>
      </c>
      <c r="J175" s="102">
        <f>ROUNDUP('Tarifa 2026'!J176*(1+Instructions!$AA$9),3)</f>
        <v>11.9</v>
      </c>
      <c r="K175" s="103">
        <f t="shared" si="20"/>
        <v>12.494999999999999</v>
      </c>
      <c r="L175" s="103" t="str">
        <f t="shared" si="21"/>
        <v>-</v>
      </c>
      <c r="M175" s="73"/>
      <c r="N175" s="74"/>
      <c r="O175"/>
      <c r="P175"/>
      <c r="Q175"/>
      <c r="R175"/>
      <c r="S175"/>
      <c r="T175"/>
      <c r="U175"/>
      <c r="V175"/>
      <c r="W175"/>
      <c r="X175"/>
      <c r="Y175"/>
      <c r="Z175"/>
      <c r="AA175"/>
      <c r="AB175"/>
      <c r="AC175"/>
      <c r="AD175"/>
      <c r="AE175"/>
      <c r="AF175"/>
      <c r="AG175"/>
      <c r="AH175"/>
      <c r="AI175"/>
      <c r="AJ175"/>
      <c r="AK175"/>
      <c r="AL175"/>
      <c r="AM175"/>
      <c r="AN175"/>
      <c r="AO175"/>
      <c r="AP175"/>
      <c r="AQ175"/>
      <c r="AR175"/>
      <c r="AS175"/>
    </row>
    <row r="176" spans="1:45" s="6" customFormat="1" ht="21.75" customHeight="1">
      <c r="A176" s="258"/>
      <c r="B176" s="275"/>
      <c r="C176" s="257"/>
      <c r="D176" s="252"/>
      <c r="E176" s="91" t="s">
        <v>41</v>
      </c>
      <c r="F176" s="91" t="s">
        <v>78</v>
      </c>
      <c r="G176" s="91" t="s">
        <v>84</v>
      </c>
      <c r="H176" s="252"/>
      <c r="I176" s="253"/>
      <c r="J176" s="102">
        <f>ROUNDUP('Tarifa 2026'!J177*(1+Instructions!$AA$9),3)</f>
        <v>12.5</v>
      </c>
      <c r="K176" s="103">
        <f t="shared" si="20"/>
        <v>13.125</v>
      </c>
      <c r="L176" s="103" t="str">
        <f t="shared" si="21"/>
        <v>-</v>
      </c>
      <c r="M176" s="73"/>
      <c r="N176" s="74"/>
      <c r="O176"/>
      <c r="P176"/>
      <c r="Q176"/>
      <c r="R176"/>
      <c r="S176"/>
      <c r="T176"/>
      <c r="U176"/>
      <c r="V176"/>
      <c r="W176"/>
      <c r="X176"/>
      <c r="Y176"/>
      <c r="Z176"/>
      <c r="AA176"/>
      <c r="AB176"/>
      <c r="AC176"/>
      <c r="AD176"/>
      <c r="AE176"/>
      <c r="AF176"/>
      <c r="AG176"/>
      <c r="AH176"/>
      <c r="AI176"/>
      <c r="AJ176"/>
      <c r="AK176"/>
      <c r="AL176"/>
      <c r="AM176"/>
      <c r="AN176"/>
      <c r="AO176"/>
      <c r="AP176"/>
      <c r="AQ176"/>
      <c r="AR176"/>
      <c r="AS176"/>
    </row>
    <row r="177" spans="1:45" s="6" customFormat="1" ht="21.75" customHeight="1">
      <c r="A177" s="249">
        <v>154</v>
      </c>
      <c r="B177" s="276" t="s">
        <v>53</v>
      </c>
      <c r="C177" s="256">
        <v>5504</v>
      </c>
      <c r="D177" s="250" t="s">
        <v>268</v>
      </c>
      <c r="E177" s="150" t="s">
        <v>39</v>
      </c>
      <c r="F177" s="150" t="s">
        <v>62</v>
      </c>
      <c r="G177" s="150" t="s">
        <v>84</v>
      </c>
      <c r="H177" s="250">
        <v>36</v>
      </c>
      <c r="I177" s="251">
        <v>1</v>
      </c>
      <c r="J177" s="152">
        <f>ROUNDUP('Tarifa 2026'!J178*(1+Instructions!$AA$9),3)</f>
        <v>14.5</v>
      </c>
      <c r="K177" s="153">
        <f t="shared" si="20"/>
        <v>15.225</v>
      </c>
      <c r="L177" s="153" t="str">
        <f t="shared" si="21"/>
        <v>-</v>
      </c>
      <c r="M177" s="73"/>
      <c r="N177" s="74"/>
      <c r="O177"/>
      <c r="P177"/>
      <c r="Q177"/>
      <c r="R177"/>
      <c r="S177"/>
      <c r="T177"/>
      <c r="U177"/>
      <c r="V177"/>
      <c r="W177"/>
      <c r="X177"/>
      <c r="Y177"/>
      <c r="Z177"/>
      <c r="AA177"/>
      <c r="AB177"/>
      <c r="AC177"/>
      <c r="AD177"/>
      <c r="AE177"/>
      <c r="AF177"/>
      <c r="AG177"/>
      <c r="AH177"/>
      <c r="AI177"/>
      <c r="AJ177"/>
      <c r="AK177"/>
      <c r="AL177"/>
      <c r="AM177"/>
      <c r="AN177"/>
      <c r="AO177"/>
      <c r="AP177"/>
      <c r="AQ177"/>
      <c r="AR177"/>
      <c r="AS177"/>
    </row>
    <row r="178" spans="1:45" s="6" customFormat="1" ht="21.75" customHeight="1">
      <c r="A178" s="249"/>
      <c r="B178" s="276"/>
      <c r="C178" s="256"/>
      <c r="D178" s="250"/>
      <c r="E178" s="150" t="s">
        <v>39</v>
      </c>
      <c r="F178" s="150" t="s">
        <v>78</v>
      </c>
      <c r="G178" s="150" t="s">
        <v>84</v>
      </c>
      <c r="H178" s="250"/>
      <c r="I178" s="251"/>
      <c r="J178" s="152">
        <f>ROUNDUP('Tarifa 2026'!J179*(1+Instructions!$AA$9),3)</f>
        <v>15.3</v>
      </c>
      <c r="K178" s="153">
        <f t="shared" si="20"/>
        <v>16.065000000000001</v>
      </c>
      <c r="L178" s="153" t="str">
        <f t="shared" si="21"/>
        <v>-</v>
      </c>
      <c r="M178" s="73"/>
      <c r="N178" s="74"/>
      <c r="O178"/>
      <c r="P178"/>
      <c r="Q178"/>
      <c r="R178"/>
      <c r="S178"/>
      <c r="T178"/>
      <c r="U178"/>
      <c r="V178"/>
      <c r="W178"/>
      <c r="X178"/>
      <c r="Y178"/>
      <c r="Z178"/>
      <c r="AA178"/>
      <c r="AB178"/>
      <c r="AC178"/>
      <c r="AD178"/>
      <c r="AE178"/>
      <c r="AF178"/>
      <c r="AG178"/>
      <c r="AH178"/>
      <c r="AI178"/>
      <c r="AJ178"/>
      <c r="AK178"/>
      <c r="AL178"/>
      <c r="AM178"/>
      <c r="AN178"/>
      <c r="AO178"/>
      <c r="AP178"/>
      <c r="AQ178"/>
      <c r="AR178"/>
      <c r="AS178"/>
    </row>
    <row r="179" spans="1:45" s="6" customFormat="1" ht="21.75" customHeight="1">
      <c r="A179" s="111">
        <v>154</v>
      </c>
      <c r="B179" s="66" t="s">
        <v>53</v>
      </c>
      <c r="C179" s="112">
        <v>5161</v>
      </c>
      <c r="D179" s="91" t="s">
        <v>269</v>
      </c>
      <c r="E179" s="91" t="s">
        <v>41</v>
      </c>
      <c r="F179" s="91" t="s">
        <v>62</v>
      </c>
      <c r="G179" s="91" t="s">
        <v>84</v>
      </c>
      <c r="H179" s="91">
        <v>36</v>
      </c>
      <c r="I179" s="113">
        <v>1</v>
      </c>
      <c r="J179" s="102">
        <f>ROUNDUP('Tarifa 2026'!J180*(1+Instructions!$AA$9),3)</f>
        <v>14.5</v>
      </c>
      <c r="K179" s="103">
        <f t="shared" si="20"/>
        <v>15.225</v>
      </c>
      <c r="L179" s="103" t="str">
        <f t="shared" si="21"/>
        <v>-</v>
      </c>
      <c r="M179" s="73"/>
      <c r="N179" s="74"/>
      <c r="O179"/>
      <c r="P179"/>
      <c r="Q179"/>
      <c r="R179"/>
      <c r="S179"/>
      <c r="T179"/>
      <c r="U179"/>
      <c r="V179"/>
      <c r="W179"/>
      <c r="X179"/>
      <c r="Y179"/>
      <c r="Z179"/>
      <c r="AA179"/>
      <c r="AB179"/>
      <c r="AC179"/>
      <c r="AD179"/>
      <c r="AE179"/>
      <c r="AF179"/>
      <c r="AG179"/>
      <c r="AH179"/>
      <c r="AI179"/>
      <c r="AJ179"/>
      <c r="AK179"/>
      <c r="AL179"/>
      <c r="AM179"/>
      <c r="AN179"/>
      <c r="AO179"/>
      <c r="AP179"/>
      <c r="AQ179"/>
      <c r="AR179"/>
      <c r="AS179"/>
    </row>
    <row r="180" spans="1:45" s="6" customFormat="1" ht="21.75" customHeight="1">
      <c r="A180" s="249">
        <v>157</v>
      </c>
      <c r="B180" s="276" t="s">
        <v>53</v>
      </c>
      <c r="C180" s="256">
        <v>5506</v>
      </c>
      <c r="D180" s="250" t="s">
        <v>270</v>
      </c>
      <c r="E180" s="150" t="s">
        <v>39</v>
      </c>
      <c r="F180" s="150" t="s">
        <v>62</v>
      </c>
      <c r="G180" s="150" t="s">
        <v>84</v>
      </c>
      <c r="H180" s="250">
        <v>36</v>
      </c>
      <c r="I180" s="251">
        <v>1</v>
      </c>
      <c r="J180" s="152">
        <f>ROUNDUP('Tarifa 2026'!J181*(1+Instructions!$AA$9),3)</f>
        <v>19.899999999999999</v>
      </c>
      <c r="K180" s="153">
        <f t="shared" si="20"/>
        <v>20.895</v>
      </c>
      <c r="L180" s="153" t="str">
        <f>IF(I180=1,"-",IF(AND(I180="",L170="-"),"-",ROUNDUP((J180*0.2)+J180,3)))</f>
        <v>-</v>
      </c>
      <c r="M180" s="73"/>
      <c r="N180" s="74"/>
      <c r="O180"/>
      <c r="P180"/>
      <c r="Q180"/>
      <c r="R180"/>
      <c r="S180"/>
      <c r="T180"/>
      <c r="U180"/>
      <c r="V180"/>
      <c r="W180"/>
      <c r="X180"/>
      <c r="Y180"/>
      <c r="Z180"/>
      <c r="AA180"/>
      <c r="AB180"/>
      <c r="AC180"/>
      <c r="AD180"/>
      <c r="AE180"/>
      <c r="AF180"/>
      <c r="AG180"/>
      <c r="AH180"/>
      <c r="AI180"/>
      <c r="AJ180"/>
      <c r="AK180"/>
      <c r="AL180"/>
      <c r="AM180"/>
      <c r="AN180"/>
      <c r="AO180"/>
      <c r="AP180"/>
      <c r="AQ180"/>
      <c r="AR180"/>
      <c r="AS180"/>
    </row>
    <row r="181" spans="1:45" s="6" customFormat="1" ht="21.75" customHeight="1">
      <c r="A181" s="249"/>
      <c r="B181" s="276"/>
      <c r="C181" s="256"/>
      <c r="D181" s="250"/>
      <c r="E181" s="150" t="s">
        <v>39</v>
      </c>
      <c r="F181" s="150" t="s">
        <v>78</v>
      </c>
      <c r="G181" s="150" t="s">
        <v>84</v>
      </c>
      <c r="H181" s="250"/>
      <c r="I181" s="251"/>
      <c r="J181" s="152">
        <f>ROUNDUP('Tarifa 2026'!J182*(1+Instructions!$AA$9),3)</f>
        <v>21</v>
      </c>
      <c r="K181" s="153">
        <f t="shared" ref="K181" si="22">IF(I181=1,(ROUNDUP((J181*0.05+J181),3)),ROUNDUP((J181*0.05+J181),3))</f>
        <v>22.05</v>
      </c>
      <c r="L181" s="153">
        <f>IF(I181=1,"-",IF(AND(I181="",L171="-"),"-",ROUNDUP((J181*0.2)+J181,3)))</f>
        <v>25.2</v>
      </c>
      <c r="M181" s="73"/>
      <c r="N181" s="74"/>
      <c r="O181"/>
      <c r="P181"/>
      <c r="Q181"/>
      <c r="R181"/>
      <c r="S181"/>
      <c r="T181"/>
      <c r="U181"/>
      <c r="V181"/>
      <c r="W181"/>
      <c r="X181"/>
      <c r="Y181"/>
      <c r="Z181"/>
      <c r="AA181"/>
      <c r="AB181"/>
      <c r="AC181"/>
      <c r="AD181"/>
      <c r="AE181"/>
      <c r="AF181"/>
      <c r="AG181"/>
      <c r="AH181"/>
      <c r="AI181"/>
      <c r="AJ181"/>
      <c r="AK181"/>
      <c r="AL181"/>
      <c r="AM181"/>
      <c r="AN181"/>
      <c r="AO181"/>
      <c r="AP181"/>
      <c r="AQ181"/>
      <c r="AR181"/>
      <c r="AS181"/>
    </row>
    <row r="182" spans="1:45" s="6" customFormat="1" ht="21.75" customHeight="1">
      <c r="A182" s="111">
        <v>157</v>
      </c>
      <c r="B182" s="66" t="s">
        <v>53</v>
      </c>
      <c r="C182" s="112">
        <v>5505</v>
      </c>
      <c r="D182" s="91" t="s">
        <v>271</v>
      </c>
      <c r="E182" s="91" t="s">
        <v>41</v>
      </c>
      <c r="F182" s="91" t="s">
        <v>62</v>
      </c>
      <c r="G182" s="91" t="s">
        <v>84</v>
      </c>
      <c r="H182" s="91">
        <v>36</v>
      </c>
      <c r="I182" s="113">
        <v>1</v>
      </c>
      <c r="J182" s="102">
        <f>ROUNDUP('Tarifa 2026'!J183*(1+Instructions!$AA$9),3)</f>
        <v>19.899999999999999</v>
      </c>
      <c r="K182" s="103">
        <f t="shared" si="20"/>
        <v>20.895</v>
      </c>
      <c r="L182" s="103" t="str">
        <f>IF(I182=1,"-",IF(AND(I182="",L171="-"),"-",ROUNDUP((J182*0.2)+J182,3)))</f>
        <v>-</v>
      </c>
      <c r="M182" s="73"/>
      <c r="N182" s="74"/>
      <c r="O182"/>
      <c r="P182"/>
      <c r="Q182"/>
      <c r="R182"/>
      <c r="S182"/>
      <c r="T182"/>
      <c r="U182"/>
      <c r="V182"/>
      <c r="W182"/>
      <c r="X182"/>
      <c r="Y182"/>
      <c r="Z182"/>
      <c r="AA182"/>
      <c r="AB182"/>
      <c r="AC182"/>
      <c r="AD182"/>
      <c r="AE182"/>
      <c r="AF182"/>
      <c r="AG182"/>
      <c r="AH182"/>
      <c r="AI182"/>
      <c r="AJ182"/>
      <c r="AK182"/>
      <c r="AL182"/>
      <c r="AM182"/>
      <c r="AN182"/>
      <c r="AO182"/>
      <c r="AP182"/>
      <c r="AQ182"/>
      <c r="AR182"/>
      <c r="AS182"/>
    </row>
    <row r="183" spans="1:45" s="6" customFormat="1" ht="21.75" customHeight="1">
      <c r="A183" s="249">
        <v>159</v>
      </c>
      <c r="B183" s="276" t="s">
        <v>53</v>
      </c>
      <c r="C183" s="256">
        <v>5507</v>
      </c>
      <c r="D183" s="250" t="s">
        <v>272</v>
      </c>
      <c r="E183" s="150" t="s">
        <v>39</v>
      </c>
      <c r="F183" s="150" t="s">
        <v>62</v>
      </c>
      <c r="G183" s="150" t="s">
        <v>84</v>
      </c>
      <c r="H183" s="250">
        <v>30</v>
      </c>
      <c r="I183" s="251">
        <v>1</v>
      </c>
      <c r="J183" s="152">
        <f>ROUNDUP('Tarifa 2026'!J184*(1+Instructions!$AA$9),3)</f>
        <v>17.899999999999999</v>
      </c>
      <c r="K183" s="153">
        <f t="shared" si="20"/>
        <v>18.795000000000002</v>
      </c>
      <c r="L183" s="153" t="str">
        <f t="shared" ref="L183:L189" si="23">IF(I183=1,"-",IF(AND(I183="",L173="-"),"-",ROUNDUP((J183*0.2)+J183,3)))</f>
        <v>-</v>
      </c>
      <c r="M183" s="73"/>
      <c r="N183" s="74"/>
      <c r="O183"/>
      <c r="P183"/>
      <c r="Q183"/>
      <c r="R183"/>
      <c r="S183"/>
      <c r="T183"/>
      <c r="U183"/>
      <c r="V183"/>
      <c r="W183"/>
      <c r="X183"/>
      <c r="Y183"/>
      <c r="Z183"/>
      <c r="AA183"/>
      <c r="AB183"/>
      <c r="AC183"/>
      <c r="AD183"/>
      <c r="AE183"/>
      <c r="AF183"/>
      <c r="AG183"/>
      <c r="AH183"/>
      <c r="AI183"/>
      <c r="AJ183"/>
      <c r="AK183"/>
      <c r="AL183"/>
      <c r="AM183"/>
      <c r="AN183"/>
      <c r="AO183"/>
      <c r="AP183"/>
      <c r="AQ183"/>
      <c r="AR183"/>
      <c r="AS183"/>
    </row>
    <row r="184" spans="1:45" ht="24.95" customHeight="1">
      <c r="A184" s="249"/>
      <c r="B184" s="276"/>
      <c r="C184" s="256"/>
      <c r="D184" s="250"/>
      <c r="E184" s="150" t="s">
        <v>39</v>
      </c>
      <c r="F184" s="150" t="s">
        <v>78</v>
      </c>
      <c r="G184" s="150" t="s">
        <v>84</v>
      </c>
      <c r="H184" s="250"/>
      <c r="I184" s="251"/>
      <c r="J184" s="152">
        <f>ROUNDUP('Tarifa 2026'!J185*(1+Instructions!$AA$9),3)</f>
        <v>19</v>
      </c>
      <c r="K184" s="153">
        <f t="shared" si="20"/>
        <v>19.95</v>
      </c>
      <c r="L184" s="153" t="str">
        <f t="shared" si="23"/>
        <v>-</v>
      </c>
      <c r="M184" s="73"/>
      <c r="N184" s="74"/>
    </row>
    <row r="185" spans="1:45" ht="24.95" customHeight="1">
      <c r="A185" s="258">
        <v>159</v>
      </c>
      <c r="B185" s="275" t="s">
        <v>53</v>
      </c>
      <c r="C185" s="257">
        <v>5068</v>
      </c>
      <c r="D185" s="252" t="s">
        <v>273</v>
      </c>
      <c r="E185" s="91" t="s">
        <v>41</v>
      </c>
      <c r="F185" s="91" t="s">
        <v>62</v>
      </c>
      <c r="G185" s="91" t="s">
        <v>84</v>
      </c>
      <c r="H185" s="252">
        <v>30</v>
      </c>
      <c r="I185" s="253">
        <v>1</v>
      </c>
      <c r="J185" s="154">
        <f>ROUNDUP('Tarifa 2026'!J186*(1+Instructions!$AA$9),3)</f>
        <v>17.899999999999999</v>
      </c>
      <c r="K185" s="103">
        <f t="shared" si="20"/>
        <v>18.795000000000002</v>
      </c>
      <c r="L185" s="103" t="str">
        <f t="shared" si="23"/>
        <v>-</v>
      </c>
      <c r="M185" s="73"/>
      <c r="N185" s="74"/>
    </row>
    <row r="186" spans="1:45" ht="24.95" customHeight="1">
      <c r="A186" s="258"/>
      <c r="B186" s="275"/>
      <c r="C186" s="257"/>
      <c r="D186" s="252"/>
      <c r="E186" s="91" t="s">
        <v>41</v>
      </c>
      <c r="F186" s="91" t="s">
        <v>78</v>
      </c>
      <c r="G186" s="91" t="s">
        <v>84</v>
      </c>
      <c r="H186" s="252"/>
      <c r="I186" s="253"/>
      <c r="J186" s="154">
        <f>ROUNDUP('Tarifa 2026'!J187*(1+Instructions!$AA$9),3)</f>
        <v>19</v>
      </c>
      <c r="K186" s="103">
        <f t="shared" si="20"/>
        <v>19.95</v>
      </c>
      <c r="L186" s="103" t="str">
        <f t="shared" si="23"/>
        <v>-</v>
      </c>
      <c r="M186" s="73"/>
      <c r="N186" s="74"/>
    </row>
    <row r="187" spans="1:45" ht="24.95" customHeight="1">
      <c r="A187" s="249">
        <v>160</v>
      </c>
      <c r="B187" s="254" t="s">
        <v>164</v>
      </c>
      <c r="C187" s="256">
        <v>6706</v>
      </c>
      <c r="D187" s="250" t="s">
        <v>309</v>
      </c>
      <c r="E187" s="150" t="s">
        <v>39</v>
      </c>
      <c r="F187" s="150" t="s">
        <v>62</v>
      </c>
      <c r="G187" s="150" t="s">
        <v>84</v>
      </c>
      <c r="H187" s="250">
        <v>30</v>
      </c>
      <c r="I187" s="251">
        <v>1</v>
      </c>
      <c r="J187" s="152">
        <f>ROUNDUP('Tarifa 2026'!J188*(1+Instructions!$AA$9),3)</f>
        <v>19</v>
      </c>
      <c r="K187" s="153">
        <f t="shared" si="20"/>
        <v>19.95</v>
      </c>
      <c r="L187" s="153" t="str">
        <f t="shared" si="23"/>
        <v>-</v>
      </c>
      <c r="M187" s="73"/>
      <c r="N187" s="74"/>
    </row>
    <row r="188" spans="1:45" ht="24.95" customHeight="1">
      <c r="A188" s="249"/>
      <c r="B188" s="254"/>
      <c r="C188" s="256"/>
      <c r="D188" s="250"/>
      <c r="E188" s="150" t="s">
        <v>39</v>
      </c>
      <c r="F188" s="150" t="s">
        <v>78</v>
      </c>
      <c r="G188" s="150" t="s">
        <v>84</v>
      </c>
      <c r="H188" s="250"/>
      <c r="I188" s="251"/>
      <c r="J188" s="152">
        <f>ROUNDUP('Tarifa 2026'!J189*(1+Instructions!$AA$9),3)</f>
        <v>20</v>
      </c>
      <c r="K188" s="153">
        <f t="shared" si="20"/>
        <v>21</v>
      </c>
      <c r="L188" s="153" t="str">
        <f t="shared" si="23"/>
        <v>-</v>
      </c>
      <c r="M188" s="73"/>
      <c r="N188" s="74"/>
    </row>
    <row r="189" spans="1:45" ht="24.95" customHeight="1">
      <c r="A189" s="258">
        <v>160</v>
      </c>
      <c r="B189" s="255" t="s">
        <v>164</v>
      </c>
      <c r="C189" s="257">
        <v>6707</v>
      </c>
      <c r="D189" s="252" t="s">
        <v>310</v>
      </c>
      <c r="E189" s="91" t="s">
        <v>41</v>
      </c>
      <c r="F189" s="91" t="s">
        <v>62</v>
      </c>
      <c r="G189" s="91" t="s">
        <v>84</v>
      </c>
      <c r="H189" s="252">
        <v>30</v>
      </c>
      <c r="I189" s="253">
        <v>1</v>
      </c>
      <c r="J189" s="154">
        <f>ROUNDUP('Tarifa 2026'!J190*(1+Instructions!$AA$9),3)</f>
        <v>19</v>
      </c>
      <c r="K189" s="103">
        <f t="shared" si="20"/>
        <v>19.95</v>
      </c>
      <c r="L189" s="103" t="str">
        <f t="shared" si="23"/>
        <v>-</v>
      </c>
      <c r="M189" s="73"/>
      <c r="N189" s="74"/>
    </row>
    <row r="190" spans="1:45" ht="24.95" customHeight="1">
      <c r="A190" s="258"/>
      <c r="B190" s="255"/>
      <c r="C190" s="257"/>
      <c r="D190" s="252"/>
      <c r="E190" s="91" t="s">
        <v>41</v>
      </c>
      <c r="F190" s="91" t="s">
        <v>78</v>
      </c>
      <c r="G190" s="91" t="s">
        <v>84</v>
      </c>
      <c r="H190" s="252"/>
      <c r="I190" s="253"/>
      <c r="J190" s="154">
        <f>ROUNDUP('Tarifa 2026'!J191*(1+Instructions!$AA$9),3)</f>
        <v>20</v>
      </c>
      <c r="K190" s="103">
        <f t="shared" si="20"/>
        <v>21</v>
      </c>
      <c r="L190" s="103" t="str">
        <f>IF(I189=1,"-",IF(AND(I189="",#REF!="-"),"-",ROUNDUP((J190*0.2)+J190,3)))</f>
        <v>-</v>
      </c>
      <c r="M190" s="73"/>
      <c r="N190" s="74"/>
    </row>
    <row r="191" spans="1:45" ht="24.95" customHeight="1">
      <c r="A191" s="147">
        <v>162</v>
      </c>
      <c r="B191" s="148" t="s">
        <v>53</v>
      </c>
      <c r="C191" s="149">
        <v>8405</v>
      </c>
      <c r="D191" s="150" t="s">
        <v>274</v>
      </c>
      <c r="E191" s="150" t="s">
        <v>39</v>
      </c>
      <c r="F191" s="150" t="s">
        <v>64</v>
      </c>
      <c r="G191" s="150" t="s">
        <v>84</v>
      </c>
      <c r="H191" s="150">
        <v>25</v>
      </c>
      <c r="I191" s="151">
        <v>1</v>
      </c>
      <c r="J191" s="155">
        <f>ROUNDUP('Tarifa 2026'!J192*(1+Instructions!$AA$9),3)</f>
        <v>21.9</v>
      </c>
      <c r="K191" s="153">
        <f t="shared" si="20"/>
        <v>22.995000000000001</v>
      </c>
      <c r="L191" s="153" t="str">
        <f>IF(I191=1,"-",IF(AND(I191="",L180="-"),"-",ROUNDUP((J191*0.2)+J191,3)))</f>
        <v>-</v>
      </c>
      <c r="M191" s="73"/>
      <c r="N191" s="74"/>
    </row>
    <row r="192" spans="1:45" ht="24.95" customHeight="1">
      <c r="A192" s="111">
        <v>162</v>
      </c>
      <c r="B192" s="66" t="s">
        <v>53</v>
      </c>
      <c r="C192" s="112">
        <v>8406</v>
      </c>
      <c r="D192" s="91" t="s">
        <v>275</v>
      </c>
      <c r="E192" s="91" t="s">
        <v>41</v>
      </c>
      <c r="F192" s="91" t="s">
        <v>64</v>
      </c>
      <c r="G192" s="91" t="s">
        <v>84</v>
      </c>
      <c r="H192" s="91">
        <v>25</v>
      </c>
      <c r="I192" s="113">
        <v>1</v>
      </c>
      <c r="J192" s="154">
        <f>ROUNDUP('Tarifa 2026'!J193*(1+Instructions!$AA$9),3)</f>
        <v>21.9</v>
      </c>
      <c r="K192" s="103">
        <f t="shared" si="20"/>
        <v>22.995000000000001</v>
      </c>
      <c r="L192" s="103" t="str">
        <f>IF(I192=1,"-",IF(AND(I192="",L182="-"),"-",ROUNDUP((J192*0.2)+J192,3)))</f>
        <v>-</v>
      </c>
      <c r="M192" s="73"/>
      <c r="N192" s="74"/>
    </row>
    <row r="193" spans="1:18" ht="24.95" customHeight="1">
      <c r="A193" s="147">
        <v>165</v>
      </c>
      <c r="B193" s="148" t="s">
        <v>53</v>
      </c>
      <c r="C193" s="149">
        <v>8417</v>
      </c>
      <c r="D193" s="150" t="s">
        <v>276</v>
      </c>
      <c r="E193" s="150" t="s">
        <v>39</v>
      </c>
      <c r="F193" s="150" t="s">
        <v>64</v>
      </c>
      <c r="G193" s="150" t="s">
        <v>40</v>
      </c>
      <c r="H193" s="150">
        <v>25</v>
      </c>
      <c r="I193" s="151">
        <v>1</v>
      </c>
      <c r="J193" s="152">
        <f>ROUNDUP('Tarifa 2026'!J194*(1+Instructions!$AA$9),3)</f>
        <v>17.899999999999999</v>
      </c>
      <c r="K193" s="153">
        <f t="shared" si="20"/>
        <v>18.795000000000002</v>
      </c>
      <c r="L193" s="153" t="str">
        <f>IF(I193=1,"-",IF(AND(I193="",#REF!="-"),"-",ROUNDUP((J193*0.2)+J193,3)))</f>
        <v>-</v>
      </c>
      <c r="M193" s="73"/>
      <c r="N193" s="74"/>
    </row>
    <row r="194" spans="1:18" ht="24.95" customHeight="1">
      <c r="A194" s="111">
        <v>165</v>
      </c>
      <c r="B194" s="66" t="s">
        <v>53</v>
      </c>
      <c r="C194" s="112">
        <v>8418</v>
      </c>
      <c r="D194" s="91" t="s">
        <v>277</v>
      </c>
      <c r="E194" s="91" t="s">
        <v>41</v>
      </c>
      <c r="F194" s="91" t="s">
        <v>64</v>
      </c>
      <c r="G194" s="91" t="s">
        <v>40</v>
      </c>
      <c r="H194" s="91">
        <v>25</v>
      </c>
      <c r="I194" s="113">
        <v>1</v>
      </c>
      <c r="J194" s="102">
        <f>ROUNDUP('Tarifa 2026'!J195*(1+Instructions!$AA$9),3)</f>
        <v>17.899999999999999</v>
      </c>
      <c r="K194" s="103">
        <f t="shared" si="20"/>
        <v>18.795000000000002</v>
      </c>
      <c r="L194" s="103" t="str">
        <f t="shared" si="21"/>
        <v>-</v>
      </c>
      <c r="M194" s="73"/>
      <c r="N194" s="74"/>
    </row>
    <row r="195" spans="1:18" s="51" customFormat="1" ht="24.95" customHeight="1">
      <c r="A195" s="249">
        <v>166</v>
      </c>
      <c r="B195" s="254" t="s">
        <v>164</v>
      </c>
      <c r="C195" s="256">
        <v>8420</v>
      </c>
      <c r="D195" s="250" t="s">
        <v>311</v>
      </c>
      <c r="E195" s="150" t="s">
        <v>39</v>
      </c>
      <c r="F195" s="150" t="s">
        <v>80</v>
      </c>
      <c r="G195" s="150" t="s">
        <v>40</v>
      </c>
      <c r="H195" s="250">
        <v>15</v>
      </c>
      <c r="I195" s="251">
        <v>1</v>
      </c>
      <c r="J195" s="152">
        <f>ROUNDUP('Tarifa 2026'!J196*(1+Instructions!$AA$9),3)</f>
        <v>25.8</v>
      </c>
      <c r="K195" s="153">
        <f t="shared" si="20"/>
        <v>27.09</v>
      </c>
      <c r="L195" s="153" t="str">
        <f t="shared" si="21"/>
        <v>-</v>
      </c>
      <c r="M195" s="73"/>
      <c r="N195" s="74"/>
      <c r="O195"/>
      <c r="P195"/>
      <c r="Q195"/>
      <c r="R195"/>
    </row>
    <row r="196" spans="1:18" s="51" customFormat="1" ht="24.95" customHeight="1">
      <c r="A196" s="249"/>
      <c r="B196" s="254"/>
      <c r="C196" s="256"/>
      <c r="D196" s="250"/>
      <c r="E196" s="150" t="s">
        <v>39</v>
      </c>
      <c r="F196" s="150" t="s">
        <v>78</v>
      </c>
      <c r="G196" s="150" t="s">
        <v>40</v>
      </c>
      <c r="H196" s="250"/>
      <c r="I196" s="251"/>
      <c r="J196" s="152">
        <f>ROUNDUP('Tarifa 2026'!J197*(1+Instructions!$AA$9),3)</f>
        <v>27.2</v>
      </c>
      <c r="K196" s="153">
        <f t="shared" si="20"/>
        <v>28.56</v>
      </c>
      <c r="L196" s="153" t="str">
        <f t="shared" si="21"/>
        <v>-</v>
      </c>
      <c r="M196" s="73"/>
      <c r="N196" s="74"/>
      <c r="O196"/>
      <c r="P196"/>
      <c r="Q196"/>
      <c r="R196"/>
    </row>
    <row r="197" spans="1:18" s="51" customFormat="1" ht="24.95" customHeight="1">
      <c r="A197" s="111">
        <v>168</v>
      </c>
      <c r="B197" s="66" t="s">
        <v>53</v>
      </c>
      <c r="C197" s="112">
        <v>8415</v>
      </c>
      <c r="D197" s="91" t="s">
        <v>148</v>
      </c>
      <c r="E197" s="91" t="s">
        <v>39</v>
      </c>
      <c r="F197" s="91" t="s">
        <v>147</v>
      </c>
      <c r="G197" s="91" t="s">
        <v>40</v>
      </c>
      <c r="H197" s="91">
        <v>20</v>
      </c>
      <c r="I197" s="113">
        <v>1</v>
      </c>
      <c r="J197" s="154">
        <f>ROUNDUP('Tarifa 2026'!J198*(1+Instructions!$AA$9),3)</f>
        <v>21.9</v>
      </c>
      <c r="K197" s="103">
        <f t="shared" si="20"/>
        <v>22.995000000000001</v>
      </c>
      <c r="L197" s="103" t="str">
        <f t="shared" si="21"/>
        <v>-</v>
      </c>
      <c r="M197" s="73"/>
      <c r="N197" s="74"/>
      <c r="O197"/>
      <c r="P197"/>
      <c r="Q197"/>
      <c r="R197"/>
    </row>
    <row r="198" spans="1:18" s="51" customFormat="1" ht="24.95" customHeight="1">
      <c r="A198" s="147">
        <v>168</v>
      </c>
      <c r="B198" s="148" t="s">
        <v>53</v>
      </c>
      <c r="C198" s="149">
        <v>8416</v>
      </c>
      <c r="D198" s="150" t="s">
        <v>149</v>
      </c>
      <c r="E198" s="150" t="s">
        <v>41</v>
      </c>
      <c r="F198" s="150" t="s">
        <v>150</v>
      </c>
      <c r="G198" s="150" t="s">
        <v>40</v>
      </c>
      <c r="H198" s="150">
        <v>20</v>
      </c>
      <c r="I198" s="151">
        <v>1</v>
      </c>
      <c r="J198" s="152">
        <f>ROUNDUP('Tarifa 2026'!J199*(1+Instructions!$AA$9),3)</f>
        <v>21.9</v>
      </c>
      <c r="K198" s="153">
        <f t="shared" si="20"/>
        <v>22.995000000000001</v>
      </c>
      <c r="L198" s="153" t="str">
        <f t="shared" si="21"/>
        <v>-</v>
      </c>
      <c r="M198" s="73"/>
      <c r="N198" s="74"/>
      <c r="O198"/>
      <c r="P198"/>
      <c r="Q198"/>
      <c r="R198"/>
    </row>
    <row r="199" spans="1:18" ht="21.75" customHeight="1">
      <c r="A199" s="111">
        <v>171</v>
      </c>
      <c r="B199" s="66" t="s">
        <v>53</v>
      </c>
      <c r="C199" s="112">
        <v>9145</v>
      </c>
      <c r="D199" s="91" t="s">
        <v>151</v>
      </c>
      <c r="E199" s="91" t="s">
        <v>39</v>
      </c>
      <c r="F199" s="91" t="s">
        <v>147</v>
      </c>
      <c r="G199" s="91" t="s">
        <v>40</v>
      </c>
      <c r="H199" s="91">
        <v>25</v>
      </c>
      <c r="I199" s="113">
        <v>1</v>
      </c>
      <c r="J199" s="154">
        <f>ROUNDUP('Tarifa 2026'!J200*(1+Instructions!$AA$9),3)</f>
        <v>25.9</v>
      </c>
      <c r="K199" s="103">
        <f t="shared" si="20"/>
        <v>27.195</v>
      </c>
      <c r="L199" s="103" t="str">
        <f t="shared" si="21"/>
        <v>-</v>
      </c>
      <c r="M199" s="73"/>
      <c r="N199" s="74"/>
    </row>
    <row r="200" spans="1:18" ht="21.75" customHeight="1">
      <c r="A200" s="147">
        <v>171</v>
      </c>
      <c r="B200" s="148" t="s">
        <v>53</v>
      </c>
      <c r="C200" s="149">
        <v>9146</v>
      </c>
      <c r="D200" s="150" t="s">
        <v>152</v>
      </c>
      <c r="E200" s="150" t="s">
        <v>41</v>
      </c>
      <c r="F200" s="150" t="s">
        <v>150</v>
      </c>
      <c r="G200" s="150" t="s">
        <v>40</v>
      </c>
      <c r="H200" s="150">
        <v>25</v>
      </c>
      <c r="I200" s="151">
        <v>1</v>
      </c>
      <c r="J200" s="152">
        <f>ROUNDUP('Tarifa 2026'!J201*(1+Instructions!$AA$9),3)</f>
        <v>25.9</v>
      </c>
      <c r="K200" s="153">
        <f t="shared" si="20"/>
        <v>27.195</v>
      </c>
      <c r="L200" s="153" t="str">
        <f t="shared" si="21"/>
        <v>-</v>
      </c>
      <c r="M200" s="73"/>
      <c r="N200" s="74"/>
    </row>
    <row r="201" spans="1:18" s="51" customFormat="1" ht="21.75" customHeight="1">
      <c r="A201" s="111">
        <v>173</v>
      </c>
      <c r="B201" s="66" t="s">
        <v>53</v>
      </c>
      <c r="C201" s="112">
        <v>9106</v>
      </c>
      <c r="D201" s="91" t="s">
        <v>154</v>
      </c>
      <c r="E201" s="91" t="s">
        <v>39</v>
      </c>
      <c r="F201" s="91" t="s">
        <v>156</v>
      </c>
      <c r="G201" s="91" t="s">
        <v>40</v>
      </c>
      <c r="H201" s="91">
        <v>20</v>
      </c>
      <c r="I201" s="113">
        <v>1</v>
      </c>
      <c r="J201" s="154">
        <f>ROUNDUP('Tarifa 2026'!J202*(1+Instructions!$AA$9),3)</f>
        <v>21.9</v>
      </c>
      <c r="K201" s="103">
        <f t="shared" si="20"/>
        <v>22.995000000000001</v>
      </c>
      <c r="L201" s="103" t="str">
        <f t="shared" si="21"/>
        <v>-</v>
      </c>
      <c r="M201" s="73"/>
      <c r="N201" s="74"/>
      <c r="O201"/>
      <c r="P201"/>
      <c r="Q201"/>
      <c r="R201"/>
    </row>
    <row r="202" spans="1:18" s="51" customFormat="1" ht="21.75" customHeight="1">
      <c r="A202" s="147">
        <v>173</v>
      </c>
      <c r="B202" s="148" t="s">
        <v>53</v>
      </c>
      <c r="C202" s="149">
        <v>9107</v>
      </c>
      <c r="D202" s="150" t="s">
        <v>153</v>
      </c>
      <c r="E202" s="150" t="s">
        <v>41</v>
      </c>
      <c r="F202" s="150" t="s">
        <v>278</v>
      </c>
      <c r="G202" s="150" t="s">
        <v>40</v>
      </c>
      <c r="H202" s="150">
        <v>20</v>
      </c>
      <c r="I202" s="151">
        <v>1</v>
      </c>
      <c r="J202" s="152">
        <f>ROUNDUP('Tarifa 2026'!J203*(1+Instructions!$AA$9),3)</f>
        <v>21.9</v>
      </c>
      <c r="K202" s="153">
        <f t="shared" si="20"/>
        <v>22.995000000000001</v>
      </c>
      <c r="L202" s="153" t="str">
        <f t="shared" si="21"/>
        <v>-</v>
      </c>
      <c r="M202" s="73"/>
      <c r="N202" s="74"/>
      <c r="O202"/>
      <c r="P202"/>
      <c r="Q202"/>
      <c r="R202"/>
    </row>
    <row r="203" spans="1:18" s="51" customFormat="1" ht="21.75" customHeight="1">
      <c r="A203" s="111">
        <v>174</v>
      </c>
      <c r="B203" s="66" t="s">
        <v>53</v>
      </c>
      <c r="C203" s="112">
        <v>9250</v>
      </c>
      <c r="D203" s="91" t="s">
        <v>279</v>
      </c>
      <c r="E203" s="91" t="s">
        <v>39</v>
      </c>
      <c r="F203" s="91" t="s">
        <v>147</v>
      </c>
      <c r="G203" s="91" t="s">
        <v>40</v>
      </c>
      <c r="H203" s="91">
        <v>25</v>
      </c>
      <c r="I203" s="113">
        <v>1</v>
      </c>
      <c r="J203" s="154">
        <f>ROUNDUP('Tarifa 2026'!J204*(1+Instructions!$AA$9),3)</f>
        <v>13.9</v>
      </c>
      <c r="K203" s="103">
        <f t="shared" si="20"/>
        <v>14.595000000000001</v>
      </c>
      <c r="L203" s="103" t="str">
        <f t="shared" si="21"/>
        <v>-</v>
      </c>
      <c r="M203" s="73"/>
      <c r="N203" s="74"/>
      <c r="O203"/>
      <c r="P203"/>
      <c r="Q203"/>
      <c r="R203"/>
    </row>
    <row r="204" spans="1:18" ht="21.75" customHeight="1">
      <c r="A204" s="147">
        <v>174</v>
      </c>
      <c r="B204" s="148" t="s">
        <v>53</v>
      </c>
      <c r="C204" s="149">
        <v>9251</v>
      </c>
      <c r="D204" s="150" t="s">
        <v>280</v>
      </c>
      <c r="E204" s="150" t="s">
        <v>41</v>
      </c>
      <c r="F204" s="150" t="s">
        <v>281</v>
      </c>
      <c r="G204" s="150" t="s">
        <v>40</v>
      </c>
      <c r="H204" s="150">
        <v>25</v>
      </c>
      <c r="I204" s="151">
        <v>1</v>
      </c>
      <c r="J204" s="152">
        <f>ROUNDUP('Tarifa 2026'!J205*(1+Instructions!$AA$9),3)</f>
        <v>13.9</v>
      </c>
      <c r="K204" s="153">
        <f t="shared" si="20"/>
        <v>14.595000000000001</v>
      </c>
      <c r="L204" s="153" t="str">
        <f t="shared" si="21"/>
        <v>-</v>
      </c>
      <c r="M204" s="73"/>
      <c r="N204" s="74"/>
    </row>
    <row r="205" spans="1:18" s="51" customFormat="1" ht="21.75" customHeight="1">
      <c r="A205" s="111">
        <v>176</v>
      </c>
      <c r="B205" s="66" t="s">
        <v>53</v>
      </c>
      <c r="C205" s="112">
        <v>9123</v>
      </c>
      <c r="D205" s="91" t="s">
        <v>282</v>
      </c>
      <c r="E205" s="91" t="s">
        <v>107</v>
      </c>
      <c r="F205" s="91" t="s">
        <v>0</v>
      </c>
      <c r="G205" s="91" t="s">
        <v>40</v>
      </c>
      <c r="H205" s="91">
        <v>50</v>
      </c>
      <c r="I205" s="113">
        <v>1</v>
      </c>
      <c r="J205" s="154">
        <f>ROUNDUP('Tarifa 2026'!J206*(1+Instructions!$AA$9),3)</f>
        <v>3.9</v>
      </c>
      <c r="K205" s="103">
        <f t="shared" si="20"/>
        <v>4.0949999999999998</v>
      </c>
      <c r="L205" s="103" t="str">
        <f t="shared" si="21"/>
        <v>-</v>
      </c>
      <c r="M205" s="73"/>
      <c r="N205" s="74"/>
      <c r="O205"/>
      <c r="P205"/>
      <c r="Q205"/>
      <c r="R205"/>
    </row>
    <row r="206" spans="1:18" ht="21.75" customHeight="1">
      <c r="A206" s="147">
        <v>176</v>
      </c>
      <c r="B206" s="148" t="s">
        <v>53</v>
      </c>
      <c r="C206" s="149">
        <v>9124</v>
      </c>
      <c r="D206" s="150" t="s">
        <v>283</v>
      </c>
      <c r="E206" s="150" t="s">
        <v>107</v>
      </c>
      <c r="F206" s="150" t="s">
        <v>0</v>
      </c>
      <c r="G206" s="150" t="s">
        <v>40</v>
      </c>
      <c r="H206" s="150">
        <v>100</v>
      </c>
      <c r="I206" s="151">
        <v>1</v>
      </c>
      <c r="J206" s="152">
        <f>ROUNDUP('Tarifa 2026'!J207*(1+Instructions!$AA$9),3)</f>
        <v>3.5</v>
      </c>
      <c r="K206" s="153">
        <f t="shared" si="20"/>
        <v>3.6749999999999998</v>
      </c>
      <c r="L206" s="153" t="str">
        <f t="shared" si="21"/>
        <v>-</v>
      </c>
      <c r="M206" s="73"/>
      <c r="N206" s="74"/>
    </row>
    <row r="207" spans="1:18" ht="21.75" customHeight="1">
      <c r="A207" s="111">
        <v>176</v>
      </c>
      <c r="B207" s="66" t="s">
        <v>53</v>
      </c>
      <c r="C207" s="112">
        <v>9127</v>
      </c>
      <c r="D207" s="91" t="s">
        <v>284</v>
      </c>
      <c r="E207" s="91" t="s">
        <v>107</v>
      </c>
      <c r="F207" s="91" t="s">
        <v>253</v>
      </c>
      <c r="G207" s="91" t="s">
        <v>40</v>
      </c>
      <c r="H207" s="91">
        <v>50</v>
      </c>
      <c r="I207" s="113">
        <v>1</v>
      </c>
      <c r="J207" s="154">
        <f>ROUNDUP('Tarifa 2026'!J208*(1+Instructions!$AA$9),3)</f>
        <v>8.4</v>
      </c>
      <c r="K207" s="103">
        <f t="shared" si="20"/>
        <v>8.82</v>
      </c>
      <c r="L207" s="103" t="str">
        <f t="shared" si="21"/>
        <v>-</v>
      </c>
      <c r="M207" s="73"/>
      <c r="N207" s="74"/>
    </row>
    <row r="208" spans="1:18" ht="21.75" customHeight="1">
      <c r="A208" s="147">
        <v>177</v>
      </c>
      <c r="B208" s="148" t="s">
        <v>53</v>
      </c>
      <c r="C208" s="149">
        <v>9126</v>
      </c>
      <c r="D208" s="150" t="s">
        <v>285</v>
      </c>
      <c r="E208" s="150" t="s">
        <v>107</v>
      </c>
      <c r="F208" s="150" t="s">
        <v>253</v>
      </c>
      <c r="G208" s="150" t="s">
        <v>40</v>
      </c>
      <c r="H208" s="150">
        <v>50</v>
      </c>
      <c r="I208" s="151">
        <v>1</v>
      </c>
      <c r="J208" s="152">
        <f>ROUNDUP('Tarifa 2026'!J209*(1+Instructions!$AA$9),3)</f>
        <v>15.9</v>
      </c>
      <c r="K208" s="153">
        <f t="shared" si="20"/>
        <v>16.695</v>
      </c>
      <c r="L208" s="153" t="str">
        <f t="shared" si="21"/>
        <v>-</v>
      </c>
      <c r="M208" s="73"/>
      <c r="N208" s="74"/>
    </row>
    <row r="209" spans="1:18" ht="21.75" customHeight="1">
      <c r="A209" s="111">
        <v>179</v>
      </c>
      <c r="B209" s="66" t="s">
        <v>53</v>
      </c>
      <c r="C209" s="112">
        <v>9139</v>
      </c>
      <c r="D209" s="91" t="s">
        <v>286</v>
      </c>
      <c r="E209" s="91" t="s">
        <v>107</v>
      </c>
      <c r="F209" s="91" t="s">
        <v>253</v>
      </c>
      <c r="G209" s="91" t="s">
        <v>84</v>
      </c>
      <c r="H209" s="91">
        <v>50</v>
      </c>
      <c r="I209" s="113">
        <v>1</v>
      </c>
      <c r="J209" s="154">
        <f>ROUNDUP('Tarifa 2026'!J210*(1+Instructions!$AA$9),3)</f>
        <v>9.9</v>
      </c>
      <c r="K209" s="103">
        <f t="shared" si="20"/>
        <v>10.395</v>
      </c>
      <c r="L209" s="103" t="str">
        <f t="shared" si="21"/>
        <v>-</v>
      </c>
      <c r="M209" s="73"/>
      <c r="N209" s="74"/>
    </row>
    <row r="210" spans="1:18" s="51" customFormat="1" ht="21.75" customHeight="1">
      <c r="A210" s="147">
        <v>179</v>
      </c>
      <c r="B210" s="148" t="s">
        <v>53</v>
      </c>
      <c r="C210" s="149">
        <v>9129</v>
      </c>
      <c r="D210" s="150" t="s">
        <v>287</v>
      </c>
      <c r="E210" s="150" t="s">
        <v>107</v>
      </c>
      <c r="F210" s="150" t="s">
        <v>253</v>
      </c>
      <c r="G210" s="150" t="s">
        <v>84</v>
      </c>
      <c r="H210" s="150">
        <v>100</v>
      </c>
      <c r="I210" s="151">
        <v>10</v>
      </c>
      <c r="J210" s="152">
        <f>ROUNDUP('Tarifa 2026'!J211*(1+Instructions!$AA$9),3)</f>
        <v>3.5</v>
      </c>
      <c r="K210" s="153">
        <f t="shared" si="20"/>
        <v>3.6749999999999998</v>
      </c>
      <c r="L210" s="153">
        <f t="shared" si="21"/>
        <v>4.2</v>
      </c>
      <c r="M210" s="73"/>
      <c r="N210" s="74"/>
      <c r="O210"/>
      <c r="P210"/>
      <c r="Q210"/>
      <c r="R210"/>
    </row>
    <row r="211" spans="1:18" ht="21.75" customHeight="1">
      <c r="A211" s="111">
        <v>179</v>
      </c>
      <c r="B211" s="66" t="s">
        <v>53</v>
      </c>
      <c r="C211" s="112">
        <v>9125</v>
      </c>
      <c r="D211" s="91" t="s">
        <v>288</v>
      </c>
      <c r="E211" s="91" t="s">
        <v>107</v>
      </c>
      <c r="F211" s="91" t="s">
        <v>289</v>
      </c>
      <c r="G211" s="91" t="s">
        <v>84</v>
      </c>
      <c r="H211" s="91">
        <v>50</v>
      </c>
      <c r="I211" s="113">
        <v>1</v>
      </c>
      <c r="J211" s="154">
        <f>ROUNDUP('Tarifa 2026'!J212*(1+Instructions!$AA$9),3)</f>
        <v>7</v>
      </c>
      <c r="K211" s="103">
        <f t="shared" si="20"/>
        <v>7.35</v>
      </c>
      <c r="L211" s="103" t="str">
        <f t="shared" si="21"/>
        <v>-</v>
      </c>
      <c r="M211" s="73"/>
      <c r="N211" s="74"/>
    </row>
    <row r="212" spans="1:18" ht="21.75" customHeight="1">
      <c r="A212" s="147">
        <v>179</v>
      </c>
      <c r="B212" s="148" t="s">
        <v>53</v>
      </c>
      <c r="C212" s="149">
        <v>9128</v>
      </c>
      <c r="D212" s="150" t="s">
        <v>290</v>
      </c>
      <c r="E212" s="150" t="s">
        <v>107</v>
      </c>
      <c r="F212" s="150" t="s">
        <v>253</v>
      </c>
      <c r="G212" s="150" t="s">
        <v>84</v>
      </c>
      <c r="H212" s="150">
        <v>100</v>
      </c>
      <c r="I212" s="151">
        <v>50</v>
      </c>
      <c r="J212" s="152">
        <f>ROUNDUP('Tarifa 2026'!J213*(1+Instructions!$AA$9),3)</f>
        <v>3.2</v>
      </c>
      <c r="K212" s="153">
        <f t="shared" si="20"/>
        <v>3.36</v>
      </c>
      <c r="L212" s="153">
        <f t="shared" si="21"/>
        <v>3.84</v>
      </c>
      <c r="M212" s="73"/>
      <c r="N212" s="74"/>
    </row>
    <row r="213" spans="1:18" ht="21.75" customHeight="1">
      <c r="A213" s="277" t="s">
        <v>291</v>
      </c>
      <c r="B213" s="277"/>
      <c r="C213" s="277"/>
      <c r="D213" s="277"/>
      <c r="E213" s="277"/>
      <c r="F213" s="277"/>
      <c r="G213" s="277"/>
      <c r="H213" s="277"/>
      <c r="I213" s="277"/>
      <c r="J213" s="277"/>
      <c r="K213" s="277"/>
      <c r="L213" s="277"/>
      <c r="M213" s="73"/>
      <c r="N213" s="74"/>
    </row>
    <row r="214" spans="1:18" ht="21.75" customHeight="1">
      <c r="A214" s="296">
        <v>184</v>
      </c>
      <c r="B214" s="297" t="s">
        <v>53</v>
      </c>
      <c r="C214" s="298">
        <v>6681</v>
      </c>
      <c r="D214" s="299" t="s">
        <v>113</v>
      </c>
      <c r="E214" s="57" t="s">
        <v>106</v>
      </c>
      <c r="F214" s="57" t="s">
        <v>62</v>
      </c>
      <c r="G214" s="57" t="s">
        <v>44</v>
      </c>
      <c r="H214" s="299">
        <v>50</v>
      </c>
      <c r="I214" s="300">
        <v>5</v>
      </c>
      <c r="J214" s="102">
        <f>ROUNDUP('Tarifa 2026'!J215*(1+Instructions!$AA$9),3)</f>
        <v>3.98</v>
      </c>
      <c r="K214" s="103">
        <f t="shared" ref="K214" si="24">IF(I214=1,(ROUNDUP((J214*0.05+J214),3)),ROUNDUP((J214*0.05+J214),3))</f>
        <v>4.1790000000000003</v>
      </c>
      <c r="L214" s="103">
        <f t="shared" ref="L214" si="25">IF(I214=1,"-",IF(AND(I214="",L212="-"),"-",ROUNDUP((J214*0.2)+J214,3)))</f>
        <v>4.7759999999999998</v>
      </c>
      <c r="M214" s="73"/>
      <c r="N214" s="74"/>
    </row>
    <row r="215" spans="1:18" s="6" customFormat="1" ht="21.75" customHeight="1">
      <c r="A215" s="296"/>
      <c r="B215" s="297"/>
      <c r="C215" s="298"/>
      <c r="D215" s="299"/>
      <c r="E215" s="57" t="s">
        <v>106</v>
      </c>
      <c r="F215" s="57" t="s">
        <v>78</v>
      </c>
      <c r="G215" s="57" t="s">
        <v>44</v>
      </c>
      <c r="H215" s="299"/>
      <c r="I215" s="300"/>
      <c r="J215" s="102">
        <f>ROUNDUP('Tarifa 2026'!J216*(1+Instructions!$AA$9),3)</f>
        <v>4.4000000000000004</v>
      </c>
      <c r="K215" s="103">
        <f t="shared" ref="K215:K280" si="26">IF(I215=1,(ROUNDUP((J215*0.05+J215),3)),ROUNDUP((J215*0.05+J215),3))</f>
        <v>4.62</v>
      </c>
      <c r="L215" s="103">
        <f t="shared" ref="L215:L280" si="27">IF(I215=1,"-",IF(AND(I215="",L213="-"),"-",ROUNDUP((J215*0.2)+J215,3)))</f>
        <v>5.28</v>
      </c>
      <c r="M215" s="73"/>
      <c r="N215" s="74"/>
      <c r="O215"/>
      <c r="P215"/>
      <c r="Q215"/>
      <c r="R215"/>
    </row>
    <row r="216" spans="1:18" s="6" customFormat="1" ht="21.75" customHeight="1">
      <c r="A216" s="296"/>
      <c r="B216" s="297"/>
      <c r="C216" s="298"/>
      <c r="D216" s="299"/>
      <c r="E216" s="57" t="s">
        <v>106</v>
      </c>
      <c r="F216" s="57" t="s">
        <v>79</v>
      </c>
      <c r="G216" s="57" t="s">
        <v>44</v>
      </c>
      <c r="H216" s="299"/>
      <c r="I216" s="300"/>
      <c r="J216" s="102">
        <f>ROUNDUP('Tarifa 2026'!J217*(1+Instructions!$AA$9),3)</f>
        <v>4.9000000000000004</v>
      </c>
      <c r="K216" s="103">
        <f t="shared" si="26"/>
        <v>5.1449999999999996</v>
      </c>
      <c r="L216" s="103">
        <f t="shared" si="27"/>
        <v>5.88</v>
      </c>
      <c r="M216" s="73"/>
      <c r="N216" s="74"/>
      <c r="O216"/>
      <c r="P216"/>
      <c r="Q216"/>
      <c r="R216"/>
    </row>
    <row r="217" spans="1:18" ht="21.75" customHeight="1">
      <c r="A217" s="296"/>
      <c r="B217" s="297"/>
      <c r="C217" s="298"/>
      <c r="D217" s="299"/>
      <c r="E217" s="57" t="s">
        <v>106</v>
      </c>
      <c r="F217" s="57" t="s">
        <v>86</v>
      </c>
      <c r="G217" s="57" t="s">
        <v>44</v>
      </c>
      <c r="H217" s="299"/>
      <c r="I217" s="300"/>
      <c r="J217" s="102">
        <f>ROUNDUP('Tarifa 2026'!J218*(1+Instructions!$AA$9),3)</f>
        <v>5.4</v>
      </c>
      <c r="K217" s="103">
        <f t="shared" si="26"/>
        <v>5.67</v>
      </c>
      <c r="L217" s="103">
        <f t="shared" si="27"/>
        <v>6.48</v>
      </c>
      <c r="M217" s="73"/>
      <c r="N217" s="74"/>
    </row>
    <row r="218" spans="1:18" ht="21.75" customHeight="1">
      <c r="A218" s="296"/>
      <c r="B218" s="297"/>
      <c r="C218" s="298"/>
      <c r="D218" s="299"/>
      <c r="E218" s="57" t="s">
        <v>106</v>
      </c>
      <c r="F218" s="57" t="s">
        <v>62</v>
      </c>
      <c r="G218" s="57" t="s">
        <v>40</v>
      </c>
      <c r="H218" s="299"/>
      <c r="I218" s="300"/>
      <c r="J218" s="102">
        <f>ROUNDUP('Tarifa 2026'!J219*(1+Instructions!$AA$9),3)</f>
        <v>4.8</v>
      </c>
      <c r="K218" s="103">
        <f t="shared" si="26"/>
        <v>5.04</v>
      </c>
      <c r="L218" s="103">
        <f t="shared" si="27"/>
        <v>5.76</v>
      </c>
      <c r="M218" s="73"/>
      <c r="N218" s="74"/>
    </row>
    <row r="219" spans="1:18" ht="21.75" customHeight="1">
      <c r="A219" s="296"/>
      <c r="B219" s="297"/>
      <c r="C219" s="298"/>
      <c r="D219" s="299"/>
      <c r="E219" s="57" t="s">
        <v>106</v>
      </c>
      <c r="F219" s="57" t="s">
        <v>78</v>
      </c>
      <c r="G219" s="57" t="s">
        <v>40</v>
      </c>
      <c r="H219" s="299"/>
      <c r="I219" s="300"/>
      <c r="J219" s="102">
        <f>ROUNDUP('Tarifa 2026'!J220*(1+Instructions!$AA$9),3)</f>
        <v>6.8</v>
      </c>
      <c r="K219" s="103">
        <f t="shared" si="26"/>
        <v>7.14</v>
      </c>
      <c r="L219" s="103">
        <f t="shared" si="27"/>
        <v>8.16</v>
      </c>
      <c r="M219" s="73"/>
      <c r="N219" s="74"/>
    </row>
    <row r="220" spans="1:18" ht="21.75" customHeight="1">
      <c r="A220" s="296"/>
      <c r="B220" s="297"/>
      <c r="C220" s="298"/>
      <c r="D220" s="299"/>
      <c r="E220" s="57" t="s">
        <v>106</v>
      </c>
      <c r="F220" s="57" t="s">
        <v>292</v>
      </c>
      <c r="G220" s="57" t="s">
        <v>40</v>
      </c>
      <c r="H220" s="299"/>
      <c r="I220" s="300"/>
      <c r="J220" s="102">
        <f>ROUNDUP('Tarifa 2026'!J221*(1+Instructions!$AA$9),3)</f>
        <v>7.2</v>
      </c>
      <c r="K220" s="103">
        <f t="shared" si="26"/>
        <v>7.56</v>
      </c>
      <c r="L220" s="103">
        <f t="shared" si="27"/>
        <v>8.64</v>
      </c>
      <c r="M220" s="73"/>
      <c r="N220" s="74"/>
    </row>
    <row r="221" spans="1:18" s="51" customFormat="1" ht="21.75" customHeight="1">
      <c r="A221" s="296"/>
      <c r="B221" s="297"/>
      <c r="C221" s="298"/>
      <c r="D221" s="299"/>
      <c r="E221" s="57" t="s">
        <v>106</v>
      </c>
      <c r="F221" s="57" t="s">
        <v>86</v>
      </c>
      <c r="G221" s="57" t="s">
        <v>40</v>
      </c>
      <c r="H221" s="299"/>
      <c r="I221" s="300"/>
      <c r="J221" s="102">
        <f>ROUNDUP('Tarifa 2026'!J222*(1+Instructions!$AA$9),3)</f>
        <v>7.9</v>
      </c>
      <c r="K221" s="103">
        <f t="shared" si="26"/>
        <v>8.2949999999999999</v>
      </c>
      <c r="L221" s="103">
        <f t="shared" si="27"/>
        <v>9.48</v>
      </c>
      <c r="M221" s="73"/>
      <c r="N221" s="74"/>
      <c r="O221"/>
      <c r="P221"/>
      <c r="Q221"/>
      <c r="R221"/>
    </row>
    <row r="222" spans="1:18" s="51" customFormat="1" ht="21.75" customHeight="1">
      <c r="A222" s="226">
        <v>184</v>
      </c>
      <c r="B222" s="227" t="s">
        <v>53</v>
      </c>
      <c r="C222" s="228">
        <v>6683</v>
      </c>
      <c r="D222" s="229" t="s">
        <v>87</v>
      </c>
      <c r="E222" s="159" t="s">
        <v>41</v>
      </c>
      <c r="F222" s="159" t="s">
        <v>62</v>
      </c>
      <c r="G222" s="159" t="s">
        <v>44</v>
      </c>
      <c r="H222" s="229">
        <v>50</v>
      </c>
      <c r="I222" s="230">
        <v>5</v>
      </c>
      <c r="J222" s="165">
        <f>ROUNDUP('Tarifa 2026'!J223*(1+Instructions!$AA$9),3)</f>
        <v>3.5</v>
      </c>
      <c r="K222" s="166">
        <f t="shared" si="26"/>
        <v>3.6749999999999998</v>
      </c>
      <c r="L222" s="166">
        <f t="shared" si="27"/>
        <v>4.2</v>
      </c>
      <c r="M222" s="73"/>
      <c r="N222" s="74"/>
      <c r="O222"/>
      <c r="P222"/>
      <c r="Q222"/>
      <c r="R222"/>
    </row>
    <row r="223" spans="1:18" s="51" customFormat="1" ht="21.75" customHeight="1">
      <c r="A223" s="226"/>
      <c r="B223" s="227"/>
      <c r="C223" s="228"/>
      <c r="D223" s="229"/>
      <c r="E223" s="159" t="s">
        <v>41</v>
      </c>
      <c r="F223" s="159" t="s">
        <v>78</v>
      </c>
      <c r="G223" s="159" t="s">
        <v>44</v>
      </c>
      <c r="H223" s="229"/>
      <c r="I223" s="230"/>
      <c r="J223" s="165">
        <f>ROUNDUP('Tarifa 2026'!J224*(1+Instructions!$AA$9),3)</f>
        <v>4.2</v>
      </c>
      <c r="K223" s="166">
        <f t="shared" si="26"/>
        <v>4.41</v>
      </c>
      <c r="L223" s="166">
        <f t="shared" si="27"/>
        <v>5.04</v>
      </c>
      <c r="M223" s="73"/>
      <c r="N223" s="74"/>
      <c r="O223"/>
      <c r="P223"/>
      <c r="Q223"/>
      <c r="R223"/>
    </row>
    <row r="224" spans="1:18" s="51" customFormat="1" ht="21.75" customHeight="1">
      <c r="A224" s="226"/>
      <c r="B224" s="227"/>
      <c r="C224" s="228"/>
      <c r="D224" s="229"/>
      <c r="E224" s="159" t="s">
        <v>41</v>
      </c>
      <c r="F224" s="159" t="s">
        <v>62</v>
      </c>
      <c r="G224" s="159" t="s">
        <v>101</v>
      </c>
      <c r="H224" s="229"/>
      <c r="I224" s="230"/>
      <c r="J224" s="165">
        <f>ROUNDUP('Tarifa 2026'!J225*(1+Instructions!$AA$9),3)</f>
        <v>3.98</v>
      </c>
      <c r="K224" s="166">
        <f t="shared" si="26"/>
        <v>4.1790000000000003</v>
      </c>
      <c r="L224" s="166">
        <f t="shared" si="27"/>
        <v>4.7759999999999998</v>
      </c>
      <c r="M224" s="73"/>
      <c r="N224" s="74"/>
      <c r="O224"/>
      <c r="P224"/>
      <c r="Q224"/>
      <c r="R224"/>
    </row>
    <row r="225" spans="1:45" s="6" customFormat="1" ht="21.75" customHeight="1">
      <c r="A225" s="226"/>
      <c r="B225" s="227"/>
      <c r="C225" s="228"/>
      <c r="D225" s="229"/>
      <c r="E225" s="159" t="s">
        <v>41</v>
      </c>
      <c r="F225" s="159" t="s">
        <v>78</v>
      </c>
      <c r="G225" s="159" t="s">
        <v>101</v>
      </c>
      <c r="H225" s="229"/>
      <c r="I225" s="230"/>
      <c r="J225" s="165">
        <f>ROUNDUP('Tarifa 2026'!J226*(1+Instructions!$AA$9),3)</f>
        <v>5.76</v>
      </c>
      <c r="K225" s="166">
        <f t="shared" si="26"/>
        <v>6.048</v>
      </c>
      <c r="L225" s="166">
        <f t="shared" si="27"/>
        <v>6.9119999999999999</v>
      </c>
      <c r="M225" s="73"/>
      <c r="N225" s="74"/>
      <c r="O225"/>
      <c r="P225"/>
      <c r="Q225"/>
      <c r="R225"/>
      <c r="S225"/>
      <c r="T225"/>
      <c r="U225"/>
      <c r="V225"/>
      <c r="W225"/>
      <c r="X225"/>
      <c r="Y225"/>
      <c r="Z225"/>
      <c r="AA225"/>
      <c r="AB225"/>
      <c r="AC225"/>
      <c r="AD225"/>
      <c r="AE225"/>
      <c r="AF225"/>
      <c r="AG225"/>
      <c r="AH225"/>
      <c r="AI225"/>
      <c r="AJ225"/>
      <c r="AK225"/>
      <c r="AL225"/>
      <c r="AM225"/>
      <c r="AN225"/>
      <c r="AO225"/>
      <c r="AP225"/>
      <c r="AQ225"/>
      <c r="AR225"/>
      <c r="AS225"/>
    </row>
    <row r="226" spans="1:45" s="6" customFormat="1" ht="21.75" customHeight="1">
      <c r="A226" s="223">
        <v>184</v>
      </c>
      <c r="B226" s="222" t="s">
        <v>53</v>
      </c>
      <c r="C226" s="221">
        <v>6502</v>
      </c>
      <c r="D226" s="220" t="s">
        <v>30</v>
      </c>
      <c r="E226" s="61" t="s">
        <v>106</v>
      </c>
      <c r="F226" s="61" t="s">
        <v>62</v>
      </c>
      <c r="G226" s="61" t="s">
        <v>44</v>
      </c>
      <c r="H226" s="220">
        <v>100</v>
      </c>
      <c r="I226" s="225">
        <v>5</v>
      </c>
      <c r="J226" s="102">
        <f>ROUNDUP('Tarifa 2026'!J227*(1+Instructions!$AA$9),3)</f>
        <v>3.5</v>
      </c>
      <c r="K226" s="103">
        <f t="shared" si="26"/>
        <v>3.6749999999999998</v>
      </c>
      <c r="L226" s="103">
        <f t="shared" si="27"/>
        <v>4.2</v>
      </c>
      <c r="M226" s="73"/>
      <c r="N226" s="74"/>
      <c r="O226"/>
      <c r="P226"/>
      <c r="Q226"/>
      <c r="R226"/>
      <c r="S226"/>
      <c r="T226"/>
      <c r="U226"/>
      <c r="V226"/>
      <c r="W226"/>
      <c r="X226"/>
      <c r="Y226"/>
      <c r="Z226"/>
      <c r="AA226"/>
      <c r="AB226"/>
      <c r="AC226"/>
      <c r="AD226"/>
      <c r="AE226"/>
      <c r="AF226"/>
      <c r="AG226"/>
      <c r="AH226"/>
      <c r="AI226"/>
      <c r="AJ226"/>
      <c r="AK226"/>
      <c r="AL226"/>
      <c r="AM226"/>
      <c r="AN226"/>
      <c r="AO226"/>
      <c r="AP226"/>
      <c r="AQ226"/>
      <c r="AR226"/>
      <c r="AS226"/>
    </row>
    <row r="227" spans="1:45" s="6" customFormat="1" ht="21.75" customHeight="1">
      <c r="A227" s="223"/>
      <c r="B227" s="222"/>
      <c r="C227" s="221"/>
      <c r="D227" s="220"/>
      <c r="E227" s="61" t="s">
        <v>106</v>
      </c>
      <c r="F227" s="61" t="s">
        <v>78</v>
      </c>
      <c r="G227" s="61" t="s">
        <v>44</v>
      </c>
      <c r="H227" s="220"/>
      <c r="I227" s="225"/>
      <c r="J227" s="102">
        <f>ROUNDUP('Tarifa 2026'!J228*(1+Instructions!$AA$9),3)</f>
        <v>4.2</v>
      </c>
      <c r="K227" s="103">
        <f t="shared" si="26"/>
        <v>4.41</v>
      </c>
      <c r="L227" s="103">
        <f t="shared" si="27"/>
        <v>5.04</v>
      </c>
      <c r="M227" s="73"/>
      <c r="N227" s="74"/>
      <c r="O227"/>
      <c r="P227"/>
      <c r="Q227"/>
      <c r="R227"/>
      <c r="S227"/>
      <c r="T227"/>
      <c r="U227"/>
      <c r="V227"/>
      <c r="W227"/>
      <c r="X227"/>
      <c r="Y227"/>
      <c r="Z227"/>
      <c r="AA227"/>
      <c r="AB227"/>
      <c r="AC227"/>
      <c r="AD227"/>
      <c r="AE227"/>
      <c r="AF227"/>
      <c r="AG227"/>
      <c r="AH227"/>
      <c r="AI227"/>
      <c r="AJ227"/>
      <c r="AK227"/>
      <c r="AL227"/>
      <c r="AM227"/>
      <c r="AN227"/>
      <c r="AO227"/>
      <c r="AP227"/>
      <c r="AQ227"/>
      <c r="AR227"/>
      <c r="AS227"/>
    </row>
    <row r="228" spans="1:45" s="6" customFormat="1" ht="21.75" customHeight="1">
      <c r="A228" s="223"/>
      <c r="B228" s="222"/>
      <c r="C228" s="221"/>
      <c r="D228" s="220"/>
      <c r="E228" s="61" t="s">
        <v>106</v>
      </c>
      <c r="F228" s="61" t="s">
        <v>79</v>
      </c>
      <c r="G228" s="61" t="s">
        <v>44</v>
      </c>
      <c r="H228" s="220"/>
      <c r="I228" s="225"/>
      <c r="J228" s="102">
        <f>ROUNDUP('Tarifa 2026'!J229*(1+Instructions!$AA$9),3)</f>
        <v>4.5999999999999996</v>
      </c>
      <c r="K228" s="103">
        <f t="shared" si="26"/>
        <v>4.83</v>
      </c>
      <c r="L228" s="103">
        <f t="shared" si="27"/>
        <v>5.52</v>
      </c>
      <c r="M228" s="73"/>
      <c r="N228" s="74"/>
      <c r="O228"/>
      <c r="P228"/>
      <c r="Q228"/>
      <c r="R228"/>
      <c r="S228"/>
      <c r="T228"/>
      <c r="U228"/>
      <c r="V228"/>
      <c r="W228"/>
      <c r="X228"/>
      <c r="Y228"/>
      <c r="Z228"/>
      <c r="AA228"/>
      <c r="AB228"/>
      <c r="AC228"/>
      <c r="AD228"/>
      <c r="AE228"/>
      <c r="AF228"/>
      <c r="AG228"/>
      <c r="AH228"/>
      <c r="AI228"/>
      <c r="AJ228"/>
      <c r="AK228"/>
      <c r="AL228"/>
      <c r="AM228"/>
      <c r="AN228"/>
      <c r="AO228"/>
      <c r="AP228"/>
      <c r="AQ228"/>
      <c r="AR228"/>
      <c r="AS228"/>
    </row>
    <row r="229" spans="1:45" s="6" customFormat="1" ht="21.75" customHeight="1">
      <c r="A229" s="223"/>
      <c r="B229" s="222"/>
      <c r="C229" s="221"/>
      <c r="D229" s="220"/>
      <c r="E229" s="61" t="s">
        <v>106</v>
      </c>
      <c r="F229" s="61" t="s">
        <v>86</v>
      </c>
      <c r="G229" s="61" t="s">
        <v>44</v>
      </c>
      <c r="H229" s="220"/>
      <c r="I229" s="225"/>
      <c r="J229" s="102">
        <f>ROUNDUP('Tarifa 2026'!J230*(1+Instructions!$AA$9),3)</f>
        <v>5.2</v>
      </c>
      <c r="K229" s="103">
        <f t="shared" si="26"/>
        <v>5.46</v>
      </c>
      <c r="L229" s="103">
        <f t="shared" si="27"/>
        <v>6.24</v>
      </c>
      <c r="M229" s="73"/>
      <c r="N229" s="74"/>
      <c r="O229"/>
      <c r="P229"/>
      <c r="Q229"/>
      <c r="R229"/>
      <c r="S229"/>
      <c r="T229"/>
      <c r="U229"/>
      <c r="V229"/>
      <c r="W229"/>
      <c r="X229"/>
      <c r="Y229"/>
      <c r="Z229"/>
      <c r="AA229"/>
      <c r="AB229"/>
      <c r="AC229"/>
      <c r="AD229"/>
      <c r="AE229"/>
      <c r="AF229"/>
      <c r="AG229"/>
      <c r="AH229"/>
      <c r="AI229"/>
      <c r="AJ229"/>
      <c r="AK229"/>
      <c r="AL229"/>
      <c r="AM229"/>
      <c r="AN229"/>
      <c r="AO229"/>
      <c r="AP229"/>
      <c r="AQ229"/>
      <c r="AR229"/>
      <c r="AS229"/>
    </row>
    <row r="230" spans="1:45" s="6" customFormat="1" ht="21.75" customHeight="1">
      <c r="A230" s="223"/>
      <c r="B230" s="222"/>
      <c r="C230" s="221"/>
      <c r="D230" s="220"/>
      <c r="E230" s="61" t="s">
        <v>106</v>
      </c>
      <c r="F230" s="61" t="s">
        <v>62</v>
      </c>
      <c r="G230" s="61" t="s">
        <v>40</v>
      </c>
      <c r="H230" s="220"/>
      <c r="I230" s="225"/>
      <c r="J230" s="102">
        <f>ROUNDUP('Tarifa 2026'!J231*(1+Instructions!$AA$9),3)</f>
        <v>3.98</v>
      </c>
      <c r="K230" s="103">
        <f t="shared" si="26"/>
        <v>4.1790000000000003</v>
      </c>
      <c r="L230" s="103">
        <f t="shared" si="27"/>
        <v>4.7759999999999998</v>
      </c>
      <c r="M230" s="73"/>
      <c r="N230" s="74"/>
      <c r="O230"/>
      <c r="P230"/>
      <c r="Q230"/>
      <c r="R230"/>
      <c r="S230"/>
      <c r="T230"/>
      <c r="U230"/>
      <c r="V230"/>
      <c r="W230"/>
      <c r="X230"/>
      <c r="Y230"/>
      <c r="Z230"/>
      <c r="AA230"/>
      <c r="AB230"/>
      <c r="AC230"/>
      <c r="AD230"/>
      <c r="AE230"/>
      <c r="AF230"/>
      <c r="AG230"/>
      <c r="AH230"/>
      <c r="AI230"/>
      <c r="AJ230"/>
      <c r="AK230"/>
      <c r="AL230"/>
      <c r="AM230"/>
      <c r="AN230"/>
      <c r="AO230"/>
      <c r="AP230"/>
      <c r="AQ230"/>
      <c r="AR230"/>
      <c r="AS230"/>
    </row>
    <row r="231" spans="1:45" s="51" customFormat="1" ht="21.75" customHeight="1">
      <c r="A231" s="223"/>
      <c r="B231" s="222"/>
      <c r="C231" s="221"/>
      <c r="D231" s="220"/>
      <c r="E231" s="61" t="s">
        <v>106</v>
      </c>
      <c r="F231" s="61" t="s">
        <v>78</v>
      </c>
      <c r="G231" s="61" t="s">
        <v>40</v>
      </c>
      <c r="H231" s="220"/>
      <c r="I231" s="225"/>
      <c r="J231" s="102">
        <f>ROUNDUP('Tarifa 2026'!J232*(1+Instructions!$AA$9),3)</f>
        <v>5.76</v>
      </c>
      <c r="K231" s="103">
        <f t="shared" si="26"/>
        <v>6.048</v>
      </c>
      <c r="L231" s="103">
        <f t="shared" si="27"/>
        <v>6.9119999999999999</v>
      </c>
      <c r="M231" s="73"/>
      <c r="N231" s="74"/>
      <c r="O231"/>
      <c r="P231"/>
      <c r="Q231"/>
      <c r="R231"/>
    </row>
    <row r="232" spans="1:45" ht="21.75" customHeight="1">
      <c r="A232" s="223"/>
      <c r="B232" s="222"/>
      <c r="C232" s="221"/>
      <c r="D232" s="220"/>
      <c r="E232" s="61" t="s">
        <v>106</v>
      </c>
      <c r="F232" s="61" t="s">
        <v>79</v>
      </c>
      <c r="G232" s="61" t="s">
        <v>40</v>
      </c>
      <c r="H232" s="220"/>
      <c r="I232" s="225"/>
      <c r="J232" s="102">
        <f>ROUNDUP('Tarifa 2026'!J233*(1+Instructions!$AA$9),3)</f>
        <v>6.86</v>
      </c>
      <c r="K232" s="103">
        <f t="shared" si="26"/>
        <v>7.2030000000000003</v>
      </c>
      <c r="L232" s="103">
        <f t="shared" si="27"/>
        <v>8.2319999999999993</v>
      </c>
      <c r="M232" s="73"/>
      <c r="N232" s="74"/>
    </row>
    <row r="233" spans="1:45" ht="21.75" customHeight="1">
      <c r="A233" s="223"/>
      <c r="B233" s="222"/>
      <c r="C233" s="221"/>
      <c r="D233" s="220"/>
      <c r="E233" s="61" t="s">
        <v>106</v>
      </c>
      <c r="F233" s="61" t="s">
        <v>86</v>
      </c>
      <c r="G233" s="61" t="s">
        <v>40</v>
      </c>
      <c r="H233" s="220"/>
      <c r="I233" s="225"/>
      <c r="J233" s="102">
        <f>ROUNDUP('Tarifa 2026'!J234*(1+Instructions!$AA$9),3)</f>
        <v>7.7</v>
      </c>
      <c r="K233" s="103">
        <f t="shared" si="26"/>
        <v>8.0850000000000009</v>
      </c>
      <c r="L233" s="103">
        <f t="shared" si="27"/>
        <v>9.24</v>
      </c>
      <c r="M233" s="73"/>
      <c r="N233" s="74"/>
    </row>
    <row r="234" spans="1:45" ht="21.75" customHeight="1">
      <c r="A234" s="226">
        <v>184</v>
      </c>
      <c r="B234" s="227" t="s">
        <v>53</v>
      </c>
      <c r="C234" s="229">
        <v>6503</v>
      </c>
      <c r="D234" s="229" t="s">
        <v>24</v>
      </c>
      <c r="E234" s="159" t="s">
        <v>106</v>
      </c>
      <c r="F234" s="159" t="s">
        <v>62</v>
      </c>
      <c r="G234" s="159" t="s">
        <v>44</v>
      </c>
      <c r="H234" s="229">
        <v>100</v>
      </c>
      <c r="I234" s="230">
        <v>5</v>
      </c>
      <c r="J234" s="165">
        <f>ROUNDUP('Tarifa 2026'!J235*(1+Instructions!$AA$9),3)</f>
        <v>3.8</v>
      </c>
      <c r="K234" s="166">
        <f t="shared" si="26"/>
        <v>3.99</v>
      </c>
      <c r="L234" s="166">
        <f t="shared" si="27"/>
        <v>4.5599999999999996</v>
      </c>
      <c r="M234" s="73"/>
      <c r="N234" s="74"/>
    </row>
    <row r="235" spans="1:45" s="51" customFormat="1" ht="21.75" customHeight="1">
      <c r="A235" s="226"/>
      <c r="B235" s="227"/>
      <c r="C235" s="229"/>
      <c r="D235" s="229"/>
      <c r="E235" s="159" t="s">
        <v>106</v>
      </c>
      <c r="F235" s="159" t="s">
        <v>78</v>
      </c>
      <c r="G235" s="159" t="s">
        <v>44</v>
      </c>
      <c r="H235" s="229"/>
      <c r="I235" s="230"/>
      <c r="J235" s="165">
        <f>ROUNDUP('Tarifa 2026'!J236*(1+Instructions!$AA$9),3)</f>
        <v>4.8</v>
      </c>
      <c r="K235" s="166">
        <f t="shared" si="26"/>
        <v>5.04</v>
      </c>
      <c r="L235" s="166">
        <f t="shared" si="27"/>
        <v>5.76</v>
      </c>
      <c r="M235" s="73"/>
      <c r="N235" s="74"/>
      <c r="O235"/>
      <c r="P235"/>
      <c r="Q235"/>
      <c r="R235"/>
    </row>
    <row r="236" spans="1:45" s="51" customFormat="1" ht="21.75" customHeight="1">
      <c r="A236" s="226"/>
      <c r="B236" s="227"/>
      <c r="C236" s="229"/>
      <c r="D236" s="229"/>
      <c r="E236" s="159" t="s">
        <v>106</v>
      </c>
      <c r="F236" s="159" t="s">
        <v>62</v>
      </c>
      <c r="G236" s="159" t="s">
        <v>40</v>
      </c>
      <c r="H236" s="229"/>
      <c r="I236" s="230"/>
      <c r="J236" s="165">
        <f>ROUNDUP('Tarifa 2026'!J237*(1+Instructions!$AA$9),3)</f>
        <v>4.5</v>
      </c>
      <c r="K236" s="166">
        <f t="shared" si="26"/>
        <v>4.7249999999999996</v>
      </c>
      <c r="L236" s="166">
        <f t="shared" si="27"/>
        <v>5.4</v>
      </c>
      <c r="M236" s="73"/>
      <c r="N236" s="74"/>
      <c r="O236"/>
      <c r="P236"/>
      <c r="Q236"/>
      <c r="R236"/>
    </row>
    <row r="237" spans="1:45" s="6" customFormat="1" ht="21.75" customHeight="1">
      <c r="A237" s="226"/>
      <c r="B237" s="227"/>
      <c r="C237" s="229"/>
      <c r="D237" s="229"/>
      <c r="E237" s="159" t="s">
        <v>106</v>
      </c>
      <c r="F237" s="159" t="s">
        <v>78</v>
      </c>
      <c r="G237" s="159" t="s">
        <v>40</v>
      </c>
      <c r="H237" s="229"/>
      <c r="I237" s="230"/>
      <c r="J237" s="165">
        <f>ROUNDUP('Tarifa 2026'!J238*(1+Instructions!$AA$9),3)</f>
        <v>5.7</v>
      </c>
      <c r="K237" s="166">
        <f t="shared" si="26"/>
        <v>5.9850000000000003</v>
      </c>
      <c r="L237" s="166">
        <f t="shared" si="27"/>
        <v>6.84</v>
      </c>
      <c r="M237" s="73"/>
      <c r="N237" s="74"/>
      <c r="O237"/>
      <c r="P237"/>
      <c r="Q237"/>
      <c r="R237"/>
      <c r="S237"/>
      <c r="T237"/>
      <c r="U237"/>
      <c r="V237"/>
      <c r="W237"/>
      <c r="X237"/>
      <c r="Y237"/>
      <c r="Z237"/>
      <c r="AA237"/>
      <c r="AB237"/>
      <c r="AC237"/>
      <c r="AD237"/>
      <c r="AE237"/>
      <c r="AF237"/>
      <c r="AG237"/>
      <c r="AH237"/>
      <c r="AI237"/>
      <c r="AJ237"/>
      <c r="AK237"/>
      <c r="AL237"/>
      <c r="AM237"/>
      <c r="AN237"/>
      <c r="AO237"/>
      <c r="AP237"/>
      <c r="AQ237"/>
      <c r="AR237"/>
      <c r="AS237"/>
    </row>
    <row r="238" spans="1:45" s="6" customFormat="1" ht="21.75" customHeight="1">
      <c r="A238" s="223">
        <v>187</v>
      </c>
      <c r="B238" s="224" t="s">
        <v>53</v>
      </c>
      <c r="C238" s="221">
        <v>6554</v>
      </c>
      <c r="D238" s="220" t="s">
        <v>42</v>
      </c>
      <c r="E238" s="61" t="s">
        <v>39</v>
      </c>
      <c r="F238" s="61" t="s">
        <v>80</v>
      </c>
      <c r="G238" s="61" t="s">
        <v>44</v>
      </c>
      <c r="H238" s="220">
        <v>100</v>
      </c>
      <c r="I238" s="225">
        <v>5</v>
      </c>
      <c r="J238" s="102">
        <f>ROUNDUP('Tarifa 2026'!J239*(1+Instructions!$AA$9),3)</f>
        <v>2.9</v>
      </c>
      <c r="K238" s="103">
        <f t="shared" si="26"/>
        <v>3.0449999999999999</v>
      </c>
      <c r="L238" s="103">
        <f t="shared" si="27"/>
        <v>3.48</v>
      </c>
      <c r="M238" s="73"/>
      <c r="N238" s="74"/>
      <c r="O238"/>
      <c r="P238"/>
      <c r="Q238"/>
      <c r="R238"/>
      <c r="S238"/>
      <c r="T238"/>
      <c r="U238"/>
      <c r="V238"/>
      <c r="W238"/>
      <c r="X238"/>
      <c r="Y238"/>
      <c r="Z238"/>
      <c r="AA238"/>
      <c r="AB238"/>
      <c r="AC238"/>
      <c r="AD238"/>
      <c r="AE238"/>
      <c r="AF238"/>
      <c r="AG238"/>
      <c r="AH238"/>
      <c r="AI238"/>
      <c r="AJ238"/>
      <c r="AK238"/>
      <c r="AL238"/>
      <c r="AM238"/>
      <c r="AN238"/>
      <c r="AO238"/>
      <c r="AP238"/>
      <c r="AQ238"/>
      <c r="AR238"/>
      <c r="AS238"/>
    </row>
    <row r="239" spans="1:45" s="6" customFormat="1" ht="21.75" customHeight="1">
      <c r="A239" s="223"/>
      <c r="B239" s="224"/>
      <c r="C239" s="221"/>
      <c r="D239" s="220"/>
      <c r="E239" s="61" t="s">
        <v>39</v>
      </c>
      <c r="F239" s="61" t="s">
        <v>78</v>
      </c>
      <c r="G239" s="61" t="s">
        <v>44</v>
      </c>
      <c r="H239" s="220"/>
      <c r="I239" s="225"/>
      <c r="J239" s="102">
        <f>ROUNDUP('Tarifa 2026'!J240*(1+Instructions!$AA$9),3)</f>
        <v>3.3</v>
      </c>
      <c r="K239" s="103">
        <f t="shared" si="26"/>
        <v>3.4649999999999999</v>
      </c>
      <c r="L239" s="103">
        <f t="shared" si="27"/>
        <v>3.96</v>
      </c>
      <c r="M239" s="73"/>
      <c r="N239" s="74"/>
      <c r="O239"/>
      <c r="P239"/>
      <c r="Q239"/>
      <c r="R239"/>
      <c r="S239"/>
      <c r="T239"/>
      <c r="U239"/>
      <c r="V239"/>
      <c r="W239"/>
      <c r="X239"/>
      <c r="Y239"/>
      <c r="Z239"/>
      <c r="AA239"/>
      <c r="AB239"/>
      <c r="AC239"/>
      <c r="AD239"/>
      <c r="AE239"/>
      <c r="AF239"/>
      <c r="AG239"/>
      <c r="AH239"/>
      <c r="AI239"/>
      <c r="AJ239"/>
      <c r="AK239"/>
      <c r="AL239"/>
      <c r="AM239"/>
      <c r="AN239"/>
      <c r="AO239"/>
      <c r="AP239"/>
      <c r="AQ239"/>
      <c r="AR239"/>
      <c r="AS239"/>
    </row>
    <row r="240" spans="1:45" s="6" customFormat="1" ht="21.75" customHeight="1">
      <c r="A240" s="223"/>
      <c r="B240" s="224"/>
      <c r="C240" s="221"/>
      <c r="D240" s="220"/>
      <c r="E240" s="61" t="s">
        <v>39</v>
      </c>
      <c r="F240" s="61" t="s">
        <v>79</v>
      </c>
      <c r="G240" s="61" t="s">
        <v>44</v>
      </c>
      <c r="H240" s="220"/>
      <c r="I240" s="225"/>
      <c r="J240" s="102">
        <f>ROUNDUP('Tarifa 2026'!J241*(1+Instructions!$AA$9),3)</f>
        <v>4.2</v>
      </c>
      <c r="K240" s="103">
        <f t="shared" si="26"/>
        <v>4.41</v>
      </c>
      <c r="L240" s="103">
        <f t="shared" si="27"/>
        <v>5.04</v>
      </c>
      <c r="M240" s="73"/>
      <c r="N240" s="74"/>
      <c r="O240"/>
      <c r="P240"/>
      <c r="Q240"/>
      <c r="R240"/>
      <c r="S240"/>
      <c r="T240"/>
      <c r="U240"/>
      <c r="V240"/>
      <c r="W240"/>
      <c r="X240"/>
      <c r="Y240"/>
      <c r="Z240"/>
      <c r="AA240"/>
      <c r="AB240"/>
      <c r="AC240"/>
      <c r="AD240"/>
      <c r="AE240"/>
      <c r="AF240"/>
      <c r="AG240"/>
      <c r="AH240"/>
      <c r="AI240"/>
      <c r="AJ240"/>
      <c r="AK240"/>
      <c r="AL240"/>
      <c r="AM240"/>
      <c r="AN240"/>
      <c r="AO240"/>
      <c r="AP240"/>
      <c r="AQ240"/>
      <c r="AR240"/>
      <c r="AS240"/>
    </row>
    <row r="241" spans="1:45" s="6" customFormat="1" ht="21.75" customHeight="1">
      <c r="A241" s="223"/>
      <c r="B241" s="224"/>
      <c r="C241" s="221"/>
      <c r="D241" s="220"/>
      <c r="E241" s="61" t="s">
        <v>39</v>
      </c>
      <c r="F241" s="61" t="s">
        <v>86</v>
      </c>
      <c r="G241" s="61" t="s">
        <v>44</v>
      </c>
      <c r="H241" s="220"/>
      <c r="I241" s="225"/>
      <c r="J241" s="102">
        <f>ROUNDUP('Tarifa 2026'!J242*(1+Instructions!$AA$9),3)</f>
        <v>4.5</v>
      </c>
      <c r="K241" s="103">
        <f t="shared" ref="K241:K245" si="28">IF(I241=1,(ROUNDUP((J241*0.05+J241),3)),ROUNDUP((J241*0.05+J241),3))</f>
        <v>4.7249999999999996</v>
      </c>
      <c r="L241" s="103">
        <f t="shared" ref="L241:L245" si="29">IF(I241=1,"-",IF(AND(I241="",L239="-"),"-",ROUNDUP((J241*0.2)+J241,3)))</f>
        <v>5.4</v>
      </c>
      <c r="M241" s="73"/>
      <c r="N241" s="74"/>
      <c r="O241"/>
      <c r="P241"/>
      <c r="Q241"/>
      <c r="R241"/>
      <c r="S241"/>
      <c r="T241"/>
      <c r="U241"/>
      <c r="V241"/>
      <c r="W241"/>
      <c r="X241"/>
      <c r="Y241"/>
      <c r="Z241"/>
      <c r="AA241"/>
      <c r="AB241"/>
      <c r="AC241"/>
      <c r="AD241"/>
      <c r="AE241"/>
      <c r="AF241"/>
      <c r="AG241"/>
      <c r="AH241"/>
      <c r="AI241"/>
      <c r="AJ241"/>
      <c r="AK241"/>
      <c r="AL241"/>
      <c r="AM241"/>
      <c r="AN241"/>
      <c r="AO241"/>
      <c r="AP241"/>
      <c r="AQ241"/>
      <c r="AR241"/>
      <c r="AS241"/>
    </row>
    <row r="242" spans="1:45" ht="21.75" customHeight="1">
      <c r="A242" s="223"/>
      <c r="B242" s="224"/>
      <c r="C242" s="221"/>
      <c r="D242" s="220"/>
      <c r="E242" s="61" t="s">
        <v>39</v>
      </c>
      <c r="F242" s="61" t="s">
        <v>80</v>
      </c>
      <c r="G242" s="61" t="s">
        <v>40</v>
      </c>
      <c r="H242" s="220"/>
      <c r="I242" s="225"/>
      <c r="J242" s="102">
        <f>ROUNDUP('Tarifa 2026'!J243*(1+Instructions!$AA$9),3)</f>
        <v>3.3</v>
      </c>
      <c r="K242" s="103">
        <f t="shared" si="28"/>
        <v>3.4649999999999999</v>
      </c>
      <c r="L242" s="103">
        <f t="shared" si="29"/>
        <v>3.96</v>
      </c>
      <c r="M242" s="84"/>
      <c r="N242" s="74"/>
    </row>
    <row r="243" spans="1:45" ht="21.75" customHeight="1">
      <c r="A243" s="223"/>
      <c r="B243" s="224"/>
      <c r="C243" s="221"/>
      <c r="D243" s="220"/>
      <c r="E243" s="61" t="s">
        <v>39</v>
      </c>
      <c r="F243" s="61" t="s">
        <v>78</v>
      </c>
      <c r="G243" s="61" t="s">
        <v>40</v>
      </c>
      <c r="H243" s="220"/>
      <c r="I243" s="225"/>
      <c r="J243" s="102">
        <f>ROUNDUP('Tarifa 2026'!J244*(1+Instructions!$AA$9),3)</f>
        <v>4</v>
      </c>
      <c r="K243" s="103">
        <f t="shared" si="28"/>
        <v>4.2</v>
      </c>
      <c r="L243" s="103">
        <f t="shared" si="29"/>
        <v>4.8</v>
      </c>
      <c r="M243" s="73"/>
      <c r="N243" s="74"/>
    </row>
    <row r="244" spans="1:45" ht="21.75" customHeight="1">
      <c r="A244" s="223"/>
      <c r="B244" s="224"/>
      <c r="C244" s="221"/>
      <c r="D244" s="220"/>
      <c r="E244" s="61" t="s">
        <v>39</v>
      </c>
      <c r="F244" s="61" t="s">
        <v>79</v>
      </c>
      <c r="G244" s="61" t="s">
        <v>40</v>
      </c>
      <c r="H244" s="220"/>
      <c r="I244" s="225"/>
      <c r="J244" s="102">
        <f>ROUNDUP('Tarifa 2026'!J245*(1+Instructions!$AA$9),3)</f>
        <v>4.5</v>
      </c>
      <c r="K244" s="103">
        <f t="shared" si="28"/>
        <v>4.7249999999999996</v>
      </c>
      <c r="L244" s="103">
        <f t="shared" si="29"/>
        <v>5.4</v>
      </c>
      <c r="M244" s="73"/>
      <c r="N244" s="74"/>
    </row>
    <row r="245" spans="1:45" ht="21.75" customHeight="1">
      <c r="A245" s="223"/>
      <c r="B245" s="224"/>
      <c r="C245" s="221"/>
      <c r="D245" s="220"/>
      <c r="E245" s="61" t="s">
        <v>39</v>
      </c>
      <c r="F245" s="61" t="s">
        <v>86</v>
      </c>
      <c r="G245" s="61" t="s">
        <v>40</v>
      </c>
      <c r="H245" s="220"/>
      <c r="I245" s="225"/>
      <c r="J245" s="102">
        <f>ROUNDUP('Tarifa 2026'!J246*(1+Instructions!$AA$9),3)</f>
        <v>4.8</v>
      </c>
      <c r="K245" s="103">
        <f t="shared" si="28"/>
        <v>5.04</v>
      </c>
      <c r="L245" s="103">
        <f t="shared" si="29"/>
        <v>5.76</v>
      </c>
      <c r="M245" s="73"/>
      <c r="N245" s="74"/>
    </row>
    <row r="246" spans="1:45" ht="21.75" customHeight="1">
      <c r="A246" s="226">
        <v>187</v>
      </c>
      <c r="B246" s="227" t="s">
        <v>53</v>
      </c>
      <c r="C246" s="228">
        <v>6627</v>
      </c>
      <c r="D246" s="229" t="s">
        <v>89</v>
      </c>
      <c r="E246" s="159" t="s">
        <v>41</v>
      </c>
      <c r="F246" s="159" t="s">
        <v>62</v>
      </c>
      <c r="G246" s="159" t="s">
        <v>44</v>
      </c>
      <c r="H246" s="229">
        <v>100</v>
      </c>
      <c r="I246" s="230">
        <v>5</v>
      </c>
      <c r="J246" s="165">
        <f>ROUNDUP('Tarifa 2026'!J247*(1+Instructions!$AA$9),3)</f>
        <v>2.9</v>
      </c>
      <c r="K246" s="166">
        <f t="shared" si="26"/>
        <v>3.0449999999999999</v>
      </c>
      <c r="L246" s="166">
        <f>IF(I246=1,"-",IF(AND(I246="",L243="-"),"-",ROUNDUP((J246*0.2)+J246,3)))</f>
        <v>3.48</v>
      </c>
      <c r="M246" s="73"/>
      <c r="N246" s="74"/>
    </row>
    <row r="247" spans="1:45" ht="21.75" customHeight="1">
      <c r="A247" s="226"/>
      <c r="B247" s="227"/>
      <c r="C247" s="228"/>
      <c r="D247" s="229"/>
      <c r="E247" s="159" t="s">
        <v>41</v>
      </c>
      <c r="F247" s="159" t="s">
        <v>78</v>
      </c>
      <c r="G247" s="159" t="s">
        <v>44</v>
      </c>
      <c r="H247" s="229"/>
      <c r="I247" s="230"/>
      <c r="J247" s="165">
        <f>ROUNDUP('Tarifa 2026'!J248*(1+Instructions!$AA$9),3)</f>
        <v>3.3</v>
      </c>
      <c r="K247" s="166">
        <f t="shared" si="26"/>
        <v>3.4649999999999999</v>
      </c>
      <c r="L247" s="166">
        <f>IF(I247=1,"-",IF(AND(I247="",L244="-"),"-",ROUNDUP((J247*0.2)+J247,3)))</f>
        <v>3.96</v>
      </c>
      <c r="M247" s="73"/>
      <c r="N247" s="74"/>
    </row>
    <row r="248" spans="1:45" ht="21.75" customHeight="1">
      <c r="A248" s="226"/>
      <c r="B248" s="227"/>
      <c r="C248" s="228"/>
      <c r="D248" s="229"/>
      <c r="E248" s="159" t="s">
        <v>41</v>
      </c>
      <c r="F248" s="159" t="s">
        <v>62</v>
      </c>
      <c r="G248" s="159" t="s">
        <v>40</v>
      </c>
      <c r="H248" s="229"/>
      <c r="I248" s="230"/>
      <c r="J248" s="165">
        <f>ROUNDUP('Tarifa 2026'!J249*(1+Instructions!$AA$9),3)</f>
        <v>3.3</v>
      </c>
      <c r="K248" s="166">
        <f t="shared" si="26"/>
        <v>3.4649999999999999</v>
      </c>
      <c r="L248" s="166">
        <f t="shared" si="27"/>
        <v>3.96</v>
      </c>
      <c r="M248" s="73"/>
      <c r="N248" s="74"/>
    </row>
    <row r="249" spans="1:45" ht="21.75" customHeight="1">
      <c r="A249" s="226"/>
      <c r="B249" s="227"/>
      <c r="C249" s="228"/>
      <c r="D249" s="229"/>
      <c r="E249" s="159" t="s">
        <v>41</v>
      </c>
      <c r="F249" s="159" t="s">
        <v>78</v>
      </c>
      <c r="G249" s="159" t="s">
        <v>40</v>
      </c>
      <c r="H249" s="229"/>
      <c r="I249" s="230"/>
      <c r="J249" s="165">
        <f>ROUNDUP('Tarifa 2026'!J250*(1+Instructions!$AA$9),3)</f>
        <v>4</v>
      </c>
      <c r="K249" s="166">
        <f t="shared" si="26"/>
        <v>4.2</v>
      </c>
      <c r="L249" s="166">
        <f t="shared" si="27"/>
        <v>4.8</v>
      </c>
      <c r="M249" s="73"/>
      <c r="N249" s="74"/>
    </row>
    <row r="250" spans="1:45" ht="21.75" customHeight="1">
      <c r="A250" s="223">
        <v>187</v>
      </c>
      <c r="B250" s="222" t="s">
        <v>53</v>
      </c>
      <c r="C250" s="221">
        <v>6597</v>
      </c>
      <c r="D250" s="220" t="s">
        <v>293</v>
      </c>
      <c r="E250" s="61" t="s">
        <v>41</v>
      </c>
      <c r="F250" s="61" t="s">
        <v>62</v>
      </c>
      <c r="G250" s="61" t="s">
        <v>44</v>
      </c>
      <c r="H250" s="220">
        <v>100</v>
      </c>
      <c r="I250" s="225">
        <v>5</v>
      </c>
      <c r="J250" s="102">
        <f>ROUNDUP('Tarifa 2026'!J251*(1+Instructions!$AA$9),3)</f>
        <v>5</v>
      </c>
      <c r="K250" s="103">
        <f t="shared" si="26"/>
        <v>5.25</v>
      </c>
      <c r="L250" s="103">
        <f t="shared" si="27"/>
        <v>6</v>
      </c>
      <c r="M250" s="73"/>
      <c r="N250" s="74"/>
    </row>
    <row r="251" spans="1:45" ht="21.75" customHeight="1">
      <c r="A251" s="223"/>
      <c r="B251" s="222"/>
      <c r="C251" s="221"/>
      <c r="D251" s="220"/>
      <c r="E251" s="61" t="s">
        <v>41</v>
      </c>
      <c r="F251" s="61" t="s">
        <v>62</v>
      </c>
      <c r="G251" s="61" t="s">
        <v>40</v>
      </c>
      <c r="H251" s="220"/>
      <c r="I251" s="225"/>
      <c r="J251" s="102">
        <f>ROUNDUP('Tarifa 2026'!J252*(1+Instructions!$AA$9),3)</f>
        <v>5.6</v>
      </c>
      <c r="K251" s="103">
        <f t="shared" si="26"/>
        <v>5.88</v>
      </c>
      <c r="L251" s="103">
        <f t="shared" si="27"/>
        <v>6.72</v>
      </c>
      <c r="M251" s="73"/>
      <c r="N251" s="74"/>
    </row>
    <row r="252" spans="1:45" ht="21.75" customHeight="1">
      <c r="A252" s="226">
        <v>187</v>
      </c>
      <c r="B252" s="227" t="s">
        <v>53</v>
      </c>
      <c r="C252" s="228">
        <v>6523</v>
      </c>
      <c r="D252" s="229" t="s">
        <v>294</v>
      </c>
      <c r="E252" s="159" t="s">
        <v>106</v>
      </c>
      <c r="F252" s="159" t="s">
        <v>62</v>
      </c>
      <c r="G252" s="159" t="s">
        <v>44</v>
      </c>
      <c r="H252" s="229">
        <v>100</v>
      </c>
      <c r="I252" s="230">
        <v>5</v>
      </c>
      <c r="J252" s="165">
        <f>ROUNDUP('Tarifa 2026'!J253*(1+Instructions!$AA$9),3)</f>
        <v>4.8</v>
      </c>
      <c r="K252" s="166">
        <f t="shared" si="26"/>
        <v>5.04</v>
      </c>
      <c r="L252" s="166">
        <f t="shared" si="27"/>
        <v>5.76</v>
      </c>
      <c r="M252" s="73"/>
      <c r="N252" s="74"/>
    </row>
    <row r="253" spans="1:45" ht="26.1" customHeight="1">
      <c r="A253" s="226"/>
      <c r="B253" s="227"/>
      <c r="C253" s="228"/>
      <c r="D253" s="229"/>
      <c r="E253" s="159" t="s">
        <v>106</v>
      </c>
      <c r="F253" s="159" t="s">
        <v>78</v>
      </c>
      <c r="G253" s="159" t="s">
        <v>44</v>
      </c>
      <c r="H253" s="229"/>
      <c r="I253" s="230"/>
      <c r="J253" s="165">
        <f>ROUNDUP('Tarifa 2026'!J254*(1+Instructions!$AA$9),3)</f>
        <v>5.22</v>
      </c>
      <c r="K253" s="166">
        <f t="shared" si="26"/>
        <v>5.4809999999999999</v>
      </c>
      <c r="L253" s="166">
        <f t="shared" si="27"/>
        <v>6.2640000000000002</v>
      </c>
      <c r="M253" s="73"/>
      <c r="N253" s="74"/>
    </row>
    <row r="254" spans="1:45" ht="26.1" customHeight="1">
      <c r="A254" s="226"/>
      <c r="B254" s="227"/>
      <c r="C254" s="228"/>
      <c r="D254" s="229"/>
      <c r="E254" s="159" t="s">
        <v>106</v>
      </c>
      <c r="F254" s="159" t="s">
        <v>62</v>
      </c>
      <c r="G254" s="159" t="s">
        <v>40</v>
      </c>
      <c r="H254" s="229"/>
      <c r="I254" s="230"/>
      <c r="J254" s="165">
        <f>ROUNDUP('Tarifa 2026'!J255*(1+Instructions!$AA$9),3)</f>
        <v>5.0999999999999996</v>
      </c>
      <c r="K254" s="166">
        <f t="shared" si="26"/>
        <v>5.3550000000000004</v>
      </c>
      <c r="L254" s="166">
        <f t="shared" si="27"/>
        <v>6.12</v>
      </c>
      <c r="M254" s="73"/>
      <c r="N254" s="74"/>
    </row>
    <row r="255" spans="1:45" ht="26.1" customHeight="1">
      <c r="A255" s="226"/>
      <c r="B255" s="227"/>
      <c r="C255" s="228"/>
      <c r="D255" s="229"/>
      <c r="E255" s="159" t="s">
        <v>106</v>
      </c>
      <c r="F255" s="159" t="s">
        <v>78</v>
      </c>
      <c r="G255" s="159" t="s">
        <v>40</v>
      </c>
      <c r="H255" s="229"/>
      <c r="I255" s="230"/>
      <c r="J255" s="165">
        <f>ROUNDUP('Tarifa 2026'!J256*(1+Instructions!$AA$9),3)</f>
        <v>5.6</v>
      </c>
      <c r="K255" s="166">
        <f t="shared" si="26"/>
        <v>5.88</v>
      </c>
      <c r="L255" s="166">
        <f t="shared" si="27"/>
        <v>6.72</v>
      </c>
      <c r="M255" s="73"/>
      <c r="N255" s="74"/>
    </row>
    <row r="256" spans="1:45" ht="26.1" customHeight="1">
      <c r="A256" s="223">
        <v>188</v>
      </c>
      <c r="B256" s="231" t="s">
        <v>53</v>
      </c>
      <c r="C256" s="220">
        <v>6660</v>
      </c>
      <c r="D256" s="220" t="s">
        <v>61</v>
      </c>
      <c r="E256" s="61" t="s">
        <v>106</v>
      </c>
      <c r="F256" s="61" t="s">
        <v>62</v>
      </c>
      <c r="G256" s="61" t="s">
        <v>40</v>
      </c>
      <c r="H256" s="220">
        <v>100</v>
      </c>
      <c r="I256" s="225">
        <v>5</v>
      </c>
      <c r="J256" s="102">
        <f>ROUNDUP('Tarifa 2026'!J257*(1+Instructions!$AA$9),3)</f>
        <v>4.5</v>
      </c>
      <c r="K256" s="103">
        <f t="shared" si="26"/>
        <v>4.7249999999999996</v>
      </c>
      <c r="L256" s="103">
        <f t="shared" si="27"/>
        <v>5.4</v>
      </c>
      <c r="M256" s="73"/>
      <c r="N256" s="74"/>
    </row>
    <row r="257" spans="1:18" ht="26.1" customHeight="1">
      <c r="A257" s="223"/>
      <c r="B257" s="231"/>
      <c r="C257" s="220"/>
      <c r="D257" s="220"/>
      <c r="E257" s="61" t="s">
        <v>106</v>
      </c>
      <c r="F257" s="61" t="s">
        <v>78</v>
      </c>
      <c r="G257" s="61" t="s">
        <v>40</v>
      </c>
      <c r="H257" s="220"/>
      <c r="I257" s="225"/>
      <c r="J257" s="102">
        <f>ROUNDUP('Tarifa 2026'!J258*(1+Instructions!$AA$9),3)</f>
        <v>5.5</v>
      </c>
      <c r="K257" s="103">
        <f t="shared" si="26"/>
        <v>5.7750000000000004</v>
      </c>
      <c r="L257" s="103">
        <f t="shared" si="27"/>
        <v>6.6</v>
      </c>
      <c r="M257" s="73"/>
      <c r="N257" s="74"/>
    </row>
    <row r="258" spans="1:18" ht="26.1" customHeight="1">
      <c r="A258" s="156">
        <v>188</v>
      </c>
      <c r="B258" s="157" t="s">
        <v>53</v>
      </c>
      <c r="C258" s="158">
        <v>6661</v>
      </c>
      <c r="D258" s="159" t="s">
        <v>85</v>
      </c>
      <c r="E258" s="159" t="s">
        <v>41</v>
      </c>
      <c r="F258" s="159" t="s">
        <v>62</v>
      </c>
      <c r="G258" s="159" t="s">
        <v>101</v>
      </c>
      <c r="H258" s="159">
        <v>100</v>
      </c>
      <c r="I258" s="160">
        <v>5</v>
      </c>
      <c r="J258" s="165">
        <f>ROUNDUP('Tarifa 2026'!J259*(1+Instructions!$AA$9),3)</f>
        <v>4.5</v>
      </c>
      <c r="K258" s="166">
        <f t="shared" si="26"/>
        <v>4.7249999999999996</v>
      </c>
      <c r="L258" s="166">
        <f t="shared" si="27"/>
        <v>5.4</v>
      </c>
      <c r="M258" s="73"/>
      <c r="N258" s="74"/>
    </row>
    <row r="259" spans="1:18" ht="26.1" customHeight="1">
      <c r="A259" s="223">
        <v>188</v>
      </c>
      <c r="B259" s="239" t="s">
        <v>53</v>
      </c>
      <c r="C259" s="240">
        <v>6532</v>
      </c>
      <c r="D259" s="220" t="s">
        <v>48</v>
      </c>
      <c r="E259" s="61" t="s">
        <v>41</v>
      </c>
      <c r="F259" s="61" t="s">
        <v>62</v>
      </c>
      <c r="G259" s="61" t="s">
        <v>44</v>
      </c>
      <c r="H259" s="220">
        <v>50</v>
      </c>
      <c r="I259" s="225">
        <v>5</v>
      </c>
      <c r="J259" s="102">
        <f>ROUNDUP('Tarifa 2026'!J260*(1+Instructions!$AA$9),3)</f>
        <v>6.3</v>
      </c>
      <c r="K259" s="103">
        <f t="shared" si="26"/>
        <v>6.6150000000000002</v>
      </c>
      <c r="L259" s="103">
        <f t="shared" si="27"/>
        <v>7.56</v>
      </c>
      <c r="M259" s="73"/>
      <c r="N259" s="74"/>
    </row>
    <row r="260" spans="1:18" ht="26.1" customHeight="1">
      <c r="A260" s="223"/>
      <c r="B260" s="239"/>
      <c r="C260" s="240"/>
      <c r="D260" s="220"/>
      <c r="E260" s="61" t="s">
        <v>41</v>
      </c>
      <c r="F260" s="61" t="s">
        <v>78</v>
      </c>
      <c r="G260" s="61" t="s">
        <v>44</v>
      </c>
      <c r="H260" s="220"/>
      <c r="I260" s="225"/>
      <c r="J260" s="102">
        <f>ROUNDUP('Tarifa 2026'!J261*(1+Instructions!$AA$9),3)</f>
        <v>7.08</v>
      </c>
      <c r="K260" s="103">
        <f t="shared" si="26"/>
        <v>7.4340000000000002</v>
      </c>
      <c r="L260" s="103">
        <f t="shared" si="27"/>
        <v>8.4960000000000004</v>
      </c>
      <c r="M260" s="73"/>
      <c r="N260" s="74"/>
    </row>
    <row r="261" spans="1:18" s="6" customFormat="1" ht="26.1" customHeight="1">
      <c r="A261" s="223"/>
      <c r="B261" s="239"/>
      <c r="C261" s="240"/>
      <c r="D261" s="220"/>
      <c r="E261" s="61" t="s">
        <v>41</v>
      </c>
      <c r="F261" s="61" t="s">
        <v>62</v>
      </c>
      <c r="G261" s="61" t="s">
        <v>40</v>
      </c>
      <c r="H261" s="220"/>
      <c r="I261" s="225"/>
      <c r="J261" s="102">
        <f>ROUNDUP('Tarifa 2026'!J262*(1+Instructions!$AA$9),3)</f>
        <v>7.1</v>
      </c>
      <c r="K261" s="103">
        <f t="shared" si="26"/>
        <v>7.4550000000000001</v>
      </c>
      <c r="L261" s="103">
        <f t="shared" si="27"/>
        <v>8.52</v>
      </c>
      <c r="M261" s="73"/>
      <c r="N261" s="74"/>
      <c r="O261"/>
      <c r="P261"/>
      <c r="Q261"/>
      <c r="R261"/>
    </row>
    <row r="262" spans="1:18" s="6" customFormat="1" ht="26.1" customHeight="1">
      <c r="A262" s="223"/>
      <c r="B262" s="239"/>
      <c r="C262" s="240"/>
      <c r="D262" s="220"/>
      <c r="E262" s="61" t="s">
        <v>41</v>
      </c>
      <c r="F262" s="61" t="s">
        <v>78</v>
      </c>
      <c r="G262" s="61" t="s">
        <v>40</v>
      </c>
      <c r="H262" s="220"/>
      <c r="I262" s="225"/>
      <c r="J262" s="102">
        <f>ROUNDUP('Tarifa 2026'!J263*(1+Instructions!$AA$9),3)</f>
        <v>7.94</v>
      </c>
      <c r="K262" s="103">
        <f t="shared" si="26"/>
        <v>8.3369999999999997</v>
      </c>
      <c r="L262" s="103">
        <f t="shared" si="27"/>
        <v>9.5280000000000005</v>
      </c>
      <c r="M262" s="73"/>
      <c r="N262" s="74"/>
      <c r="O262"/>
      <c r="P262"/>
      <c r="Q262"/>
      <c r="R262"/>
    </row>
    <row r="263" spans="1:18" s="6" customFormat="1" ht="26.1" customHeight="1">
      <c r="A263" s="226">
        <v>188</v>
      </c>
      <c r="B263" s="308" t="s">
        <v>53</v>
      </c>
      <c r="C263" s="309">
        <v>6646</v>
      </c>
      <c r="D263" s="229" t="s">
        <v>31</v>
      </c>
      <c r="E263" s="159" t="s">
        <v>41</v>
      </c>
      <c r="F263" s="159" t="s">
        <v>62</v>
      </c>
      <c r="G263" s="159" t="s">
        <v>44</v>
      </c>
      <c r="H263" s="229">
        <v>100</v>
      </c>
      <c r="I263" s="230">
        <v>5</v>
      </c>
      <c r="J263" s="165">
        <f>ROUNDUP('Tarifa 2026'!J264*(1+Instructions!$AA$9),3)</f>
        <v>3.5</v>
      </c>
      <c r="K263" s="166">
        <f t="shared" si="26"/>
        <v>3.6749999999999998</v>
      </c>
      <c r="L263" s="166">
        <f t="shared" si="27"/>
        <v>4.2</v>
      </c>
      <c r="M263" s="73"/>
      <c r="N263" s="74"/>
      <c r="O263"/>
      <c r="P263"/>
      <c r="Q263"/>
      <c r="R263"/>
    </row>
    <row r="264" spans="1:18" s="6" customFormat="1" ht="26.1" customHeight="1">
      <c r="A264" s="226"/>
      <c r="B264" s="308"/>
      <c r="C264" s="309"/>
      <c r="D264" s="229"/>
      <c r="E264" s="159" t="s">
        <v>41</v>
      </c>
      <c r="F264" s="159" t="s">
        <v>78</v>
      </c>
      <c r="G264" s="159" t="s">
        <v>44</v>
      </c>
      <c r="H264" s="229"/>
      <c r="I264" s="230"/>
      <c r="J264" s="165">
        <f>ROUNDUP('Tarifa 2026'!J265*(1+Instructions!$AA$9),3)</f>
        <v>4.4000000000000004</v>
      </c>
      <c r="K264" s="166">
        <f t="shared" si="26"/>
        <v>4.62</v>
      </c>
      <c r="L264" s="166">
        <f t="shared" si="27"/>
        <v>5.28</v>
      </c>
      <c r="M264" s="73"/>
      <c r="N264" s="74"/>
      <c r="O264"/>
      <c r="P264"/>
      <c r="Q264"/>
      <c r="R264"/>
    </row>
    <row r="265" spans="1:18" ht="26.1" customHeight="1">
      <c r="A265" s="226"/>
      <c r="B265" s="308"/>
      <c r="C265" s="309"/>
      <c r="D265" s="229"/>
      <c r="E265" s="159" t="s">
        <v>41</v>
      </c>
      <c r="F265" s="159" t="s">
        <v>62</v>
      </c>
      <c r="G265" s="159" t="s">
        <v>40</v>
      </c>
      <c r="H265" s="229"/>
      <c r="I265" s="230"/>
      <c r="J265" s="165">
        <f>ROUNDUP('Tarifa 2026'!J266*(1+Instructions!$AA$9),3)</f>
        <v>3.9</v>
      </c>
      <c r="K265" s="166">
        <f t="shared" si="26"/>
        <v>4.0949999999999998</v>
      </c>
      <c r="L265" s="166">
        <f t="shared" si="27"/>
        <v>4.68</v>
      </c>
      <c r="M265" s="73"/>
      <c r="N265" s="74"/>
    </row>
    <row r="266" spans="1:18" ht="26.1" customHeight="1">
      <c r="A266" s="226"/>
      <c r="B266" s="308"/>
      <c r="C266" s="309"/>
      <c r="D266" s="229"/>
      <c r="E266" s="159" t="s">
        <v>41</v>
      </c>
      <c r="F266" s="159" t="s">
        <v>78</v>
      </c>
      <c r="G266" s="159" t="s">
        <v>40</v>
      </c>
      <c r="H266" s="229"/>
      <c r="I266" s="230"/>
      <c r="J266" s="165">
        <f>ROUNDUP('Tarifa 2026'!J267*(1+Instructions!$AA$9),3)</f>
        <v>4.8</v>
      </c>
      <c r="K266" s="166">
        <f t="shared" si="26"/>
        <v>5.04</v>
      </c>
      <c r="L266" s="166">
        <f t="shared" si="27"/>
        <v>5.76</v>
      </c>
      <c r="M266" s="73"/>
      <c r="N266" s="74"/>
    </row>
    <row r="267" spans="1:18" ht="26.1" customHeight="1">
      <c r="A267" s="63">
        <v>189</v>
      </c>
      <c r="B267" s="64" t="s">
        <v>53</v>
      </c>
      <c r="C267" s="161">
        <v>6691</v>
      </c>
      <c r="D267" s="61" t="s">
        <v>100</v>
      </c>
      <c r="E267" s="61" t="s">
        <v>106</v>
      </c>
      <c r="F267" s="61" t="s">
        <v>62</v>
      </c>
      <c r="G267" s="61" t="s">
        <v>40</v>
      </c>
      <c r="H267" s="61">
        <v>50</v>
      </c>
      <c r="I267" s="83">
        <v>1</v>
      </c>
      <c r="J267" s="102">
        <f>ROUNDUP('Tarifa 2026'!J268*(1+Instructions!$AA$9),3)</f>
        <v>9.9</v>
      </c>
      <c r="K267" s="103">
        <f t="shared" si="26"/>
        <v>10.395</v>
      </c>
      <c r="L267" s="103" t="str">
        <f t="shared" si="27"/>
        <v>-</v>
      </c>
      <c r="M267" s="73"/>
      <c r="N267" s="74"/>
    </row>
    <row r="268" spans="1:18" ht="26.1" customHeight="1">
      <c r="A268" s="156">
        <v>189</v>
      </c>
      <c r="B268" s="157" t="s">
        <v>53</v>
      </c>
      <c r="C268" s="158">
        <v>6689</v>
      </c>
      <c r="D268" s="159" t="s">
        <v>99</v>
      </c>
      <c r="E268" s="159" t="s">
        <v>106</v>
      </c>
      <c r="F268" s="159" t="s">
        <v>62</v>
      </c>
      <c r="G268" s="159" t="s">
        <v>40</v>
      </c>
      <c r="H268" s="159">
        <v>50</v>
      </c>
      <c r="I268" s="160">
        <v>1</v>
      </c>
      <c r="J268" s="165">
        <f>ROUNDUP('Tarifa 2026'!J269*(1+Instructions!$AA$9),3)</f>
        <v>9.9</v>
      </c>
      <c r="K268" s="166">
        <f t="shared" si="26"/>
        <v>10.395</v>
      </c>
      <c r="L268" s="166" t="str">
        <f t="shared" si="27"/>
        <v>-</v>
      </c>
      <c r="M268" s="73"/>
      <c r="N268" s="74"/>
    </row>
    <row r="269" spans="1:18" ht="26.1" customHeight="1">
      <c r="A269" s="223">
        <v>190</v>
      </c>
      <c r="B269" s="275" t="s">
        <v>53</v>
      </c>
      <c r="C269" s="240" t="s">
        <v>168</v>
      </c>
      <c r="D269" s="220" t="s">
        <v>169</v>
      </c>
      <c r="E269" s="61" t="s">
        <v>39</v>
      </c>
      <c r="F269" s="61" t="s">
        <v>62</v>
      </c>
      <c r="G269" s="61" t="s">
        <v>84</v>
      </c>
      <c r="H269" s="220">
        <v>50</v>
      </c>
      <c r="I269" s="225">
        <v>1</v>
      </c>
      <c r="J269" s="102">
        <f>ROUNDUP('Tarifa 2026'!J270*(1+Instructions!$AA$9),3)</f>
        <v>4.4000000000000004</v>
      </c>
      <c r="K269" s="103">
        <f t="shared" si="26"/>
        <v>4.62</v>
      </c>
      <c r="L269" s="103" t="str">
        <f t="shared" si="27"/>
        <v>-</v>
      </c>
      <c r="M269" s="73"/>
      <c r="N269" s="74"/>
    </row>
    <row r="270" spans="1:18" s="6" customFormat="1" ht="26.1" customHeight="1">
      <c r="A270" s="223"/>
      <c r="B270" s="275"/>
      <c r="C270" s="240"/>
      <c r="D270" s="220"/>
      <c r="E270" s="61" t="s">
        <v>39</v>
      </c>
      <c r="F270" s="61" t="s">
        <v>78</v>
      </c>
      <c r="G270" s="61" t="s">
        <v>84</v>
      </c>
      <c r="H270" s="220"/>
      <c r="I270" s="225"/>
      <c r="J270" s="102">
        <f>ROUNDUP('Tarifa 2026'!J271*(1+Instructions!$AA$9),3)</f>
        <v>4.8</v>
      </c>
      <c r="K270" s="103">
        <f t="shared" si="26"/>
        <v>5.04</v>
      </c>
      <c r="L270" s="103" t="str">
        <f t="shared" si="27"/>
        <v>-</v>
      </c>
      <c r="M270" s="73"/>
      <c r="N270" s="74"/>
      <c r="O270"/>
      <c r="P270"/>
      <c r="Q270"/>
      <c r="R270"/>
    </row>
    <row r="271" spans="1:18" s="6" customFormat="1" ht="25.5" customHeight="1">
      <c r="A271" s="156">
        <v>190</v>
      </c>
      <c r="B271" s="180" t="s">
        <v>53</v>
      </c>
      <c r="C271" s="162" t="s">
        <v>301</v>
      </c>
      <c r="D271" s="159" t="s">
        <v>172</v>
      </c>
      <c r="E271" s="159" t="s">
        <v>41</v>
      </c>
      <c r="F271" s="159" t="s">
        <v>62</v>
      </c>
      <c r="G271" s="159" t="s">
        <v>84</v>
      </c>
      <c r="H271" s="159">
        <v>50</v>
      </c>
      <c r="I271" s="160">
        <v>1</v>
      </c>
      <c r="J271" s="165">
        <f>ROUNDUP('Tarifa 2026'!J272*(1+Instructions!$AA$9),3)</f>
        <v>4.4000000000000004</v>
      </c>
      <c r="K271" s="166">
        <f t="shared" si="26"/>
        <v>4.62</v>
      </c>
      <c r="L271" s="166" t="str">
        <f t="shared" si="27"/>
        <v>-</v>
      </c>
      <c r="M271" s="73"/>
      <c r="N271" s="74"/>
      <c r="O271"/>
      <c r="P271"/>
      <c r="Q271"/>
      <c r="R271"/>
    </row>
    <row r="272" spans="1:18" ht="26.1" customHeight="1">
      <c r="A272" s="306">
        <v>190</v>
      </c>
      <c r="B272" s="222" t="s">
        <v>53</v>
      </c>
      <c r="C272" s="307" t="s">
        <v>116</v>
      </c>
      <c r="D272" s="220" t="s">
        <v>117</v>
      </c>
      <c r="E272" s="61" t="s">
        <v>106</v>
      </c>
      <c r="F272" s="61" t="s">
        <v>62</v>
      </c>
      <c r="G272" s="61" t="s">
        <v>84</v>
      </c>
      <c r="H272" s="220">
        <v>50</v>
      </c>
      <c r="I272" s="225">
        <v>5</v>
      </c>
      <c r="J272" s="102">
        <f>ROUNDUP('Tarifa 2026'!J273*(1+Instructions!$AA$9),3)</f>
        <v>3.5</v>
      </c>
      <c r="K272" s="103">
        <f t="shared" si="26"/>
        <v>3.6749999999999998</v>
      </c>
      <c r="L272" s="103">
        <f t="shared" si="27"/>
        <v>4.2</v>
      </c>
      <c r="M272" s="73"/>
      <c r="N272" s="74"/>
    </row>
    <row r="273" spans="1:18" ht="26.1" customHeight="1">
      <c r="A273" s="306"/>
      <c r="B273" s="222"/>
      <c r="C273" s="307"/>
      <c r="D273" s="220"/>
      <c r="E273" s="61" t="s">
        <v>106</v>
      </c>
      <c r="F273" s="61" t="s">
        <v>78</v>
      </c>
      <c r="G273" s="61" t="s">
        <v>84</v>
      </c>
      <c r="H273" s="220"/>
      <c r="I273" s="225"/>
      <c r="J273" s="102">
        <f>ROUNDUP('Tarifa 2026'!J274*(1+Instructions!$AA$9),3)</f>
        <v>3.9</v>
      </c>
      <c r="K273" s="103">
        <f t="shared" si="26"/>
        <v>4.0949999999999998</v>
      </c>
      <c r="L273" s="103">
        <f>IF(I272=1,"-",IF(AND(I272="",L272="-"),"-",ROUNDUP((J273*0.2)+J273,3)))</f>
        <v>4.68</v>
      </c>
      <c r="M273" s="73"/>
      <c r="N273" s="74"/>
    </row>
    <row r="274" spans="1:18" ht="26.1" customHeight="1">
      <c r="A274" s="156">
        <v>190</v>
      </c>
      <c r="B274" s="157" t="s">
        <v>53</v>
      </c>
      <c r="C274" s="158" t="s">
        <v>114</v>
      </c>
      <c r="D274" s="159" t="s">
        <v>115</v>
      </c>
      <c r="E274" s="159" t="s">
        <v>41</v>
      </c>
      <c r="F274" s="159" t="s">
        <v>62</v>
      </c>
      <c r="G274" s="159" t="s">
        <v>84</v>
      </c>
      <c r="H274" s="159">
        <v>50</v>
      </c>
      <c r="I274" s="160">
        <v>5</v>
      </c>
      <c r="J274" s="165">
        <f>ROUNDUP('Tarifa 2026'!J275*(1+Instructions!$AA$9),3)</f>
        <v>3.5</v>
      </c>
      <c r="K274" s="166">
        <f t="shared" si="26"/>
        <v>3.6749999999999998</v>
      </c>
      <c r="L274" s="166">
        <f t="shared" si="27"/>
        <v>4.2</v>
      </c>
      <c r="M274" s="73"/>
      <c r="N274" s="74"/>
    </row>
    <row r="275" spans="1:18" s="51" customFormat="1" ht="21.75" customHeight="1">
      <c r="A275" s="223">
        <v>191</v>
      </c>
      <c r="B275" s="239" t="s">
        <v>53</v>
      </c>
      <c r="C275" s="240" t="s">
        <v>90</v>
      </c>
      <c r="D275" s="220" t="s">
        <v>93</v>
      </c>
      <c r="E275" s="61" t="s">
        <v>107</v>
      </c>
      <c r="F275" s="61" t="s">
        <v>62</v>
      </c>
      <c r="G275" s="61" t="s">
        <v>84</v>
      </c>
      <c r="H275" s="220">
        <v>50</v>
      </c>
      <c r="I275" s="225">
        <v>5</v>
      </c>
      <c r="J275" s="102">
        <f>ROUNDUP('Tarifa 2026'!J276*(1+Instructions!$AA$9),3)</f>
        <v>2.6</v>
      </c>
      <c r="K275" s="103">
        <f t="shared" si="26"/>
        <v>2.73</v>
      </c>
      <c r="L275" s="103">
        <f t="shared" si="27"/>
        <v>3.12</v>
      </c>
      <c r="M275" s="73"/>
      <c r="N275" s="74"/>
      <c r="O275"/>
      <c r="P275"/>
      <c r="Q275"/>
      <c r="R275"/>
    </row>
    <row r="276" spans="1:18" s="51" customFormat="1" ht="21.75" customHeight="1">
      <c r="A276" s="223"/>
      <c r="B276" s="239"/>
      <c r="C276" s="240"/>
      <c r="D276" s="220"/>
      <c r="E276" s="61" t="s">
        <v>107</v>
      </c>
      <c r="F276" s="61" t="s">
        <v>78</v>
      </c>
      <c r="G276" s="61" t="s">
        <v>84</v>
      </c>
      <c r="H276" s="220"/>
      <c r="I276" s="225"/>
      <c r="J276" s="102">
        <f>ROUNDUP('Tarifa 2026'!J277*(1+Instructions!$AA$9),3)</f>
        <v>3.2</v>
      </c>
      <c r="K276" s="103">
        <f t="shared" si="26"/>
        <v>3.36</v>
      </c>
      <c r="L276" s="103">
        <f t="shared" si="27"/>
        <v>3.84</v>
      </c>
      <c r="M276" s="73"/>
      <c r="N276" s="74"/>
      <c r="O276"/>
      <c r="P276"/>
      <c r="Q276"/>
      <c r="R276"/>
    </row>
    <row r="277" spans="1:18" s="51" customFormat="1" ht="21.75" customHeight="1">
      <c r="A277" s="223"/>
      <c r="B277" s="239"/>
      <c r="C277" s="240"/>
      <c r="D277" s="220"/>
      <c r="E277" s="61" t="s">
        <v>107</v>
      </c>
      <c r="F277" s="61" t="s">
        <v>79</v>
      </c>
      <c r="G277" s="61" t="s">
        <v>84</v>
      </c>
      <c r="H277" s="220"/>
      <c r="I277" s="225"/>
      <c r="J277" s="102">
        <f>ROUNDUP('Tarifa 2026'!J278*(1+Instructions!$AA$9),3)</f>
        <v>3.5</v>
      </c>
      <c r="K277" s="103">
        <f t="shared" si="26"/>
        <v>3.6749999999999998</v>
      </c>
      <c r="L277" s="103">
        <f t="shared" si="27"/>
        <v>4.2</v>
      </c>
      <c r="M277" s="73"/>
      <c r="N277" s="74"/>
      <c r="O277"/>
      <c r="P277"/>
      <c r="Q277"/>
      <c r="R277"/>
    </row>
    <row r="278" spans="1:18" s="51" customFormat="1" ht="21.75" customHeight="1">
      <c r="A278" s="156">
        <v>191</v>
      </c>
      <c r="B278" s="157" t="s">
        <v>53</v>
      </c>
      <c r="C278" s="158" t="s">
        <v>91</v>
      </c>
      <c r="D278" s="159" t="s">
        <v>92</v>
      </c>
      <c r="E278" s="159" t="s">
        <v>41</v>
      </c>
      <c r="F278" s="159" t="s">
        <v>62</v>
      </c>
      <c r="G278" s="159" t="s">
        <v>84</v>
      </c>
      <c r="H278" s="159">
        <v>50</v>
      </c>
      <c r="I278" s="160">
        <v>5</v>
      </c>
      <c r="J278" s="165">
        <f>ROUNDUP('Tarifa 2026'!J279*(1+Instructions!$AA$9),3)</f>
        <v>2.6</v>
      </c>
      <c r="K278" s="166">
        <f t="shared" si="26"/>
        <v>2.73</v>
      </c>
      <c r="L278" s="166">
        <f t="shared" si="27"/>
        <v>3.12</v>
      </c>
      <c r="M278" s="73"/>
      <c r="N278" s="74"/>
      <c r="O278"/>
      <c r="P278"/>
      <c r="Q278"/>
      <c r="R278"/>
    </row>
    <row r="279" spans="1:18" ht="24.95" customHeight="1">
      <c r="A279" s="223">
        <v>193</v>
      </c>
      <c r="B279" s="322" t="s">
        <v>53</v>
      </c>
      <c r="C279" s="221">
        <v>6617</v>
      </c>
      <c r="D279" s="220" t="s">
        <v>130</v>
      </c>
      <c r="E279" s="61" t="s">
        <v>39</v>
      </c>
      <c r="F279" s="61" t="s">
        <v>62</v>
      </c>
      <c r="G279" s="61" t="s">
        <v>296</v>
      </c>
      <c r="H279" s="220">
        <v>50</v>
      </c>
      <c r="I279" s="225">
        <v>5</v>
      </c>
      <c r="J279" s="102">
        <f>ROUNDUP('Tarifa 2026'!J280*(1+Instructions!$AA$9),3)</f>
        <v>9.8000000000000007</v>
      </c>
      <c r="K279" s="103">
        <f t="shared" si="26"/>
        <v>10.29</v>
      </c>
      <c r="L279" s="103">
        <f t="shared" si="27"/>
        <v>11.76</v>
      </c>
      <c r="M279" s="73"/>
      <c r="N279" s="74"/>
    </row>
    <row r="280" spans="1:18" ht="24.95" customHeight="1">
      <c r="A280" s="223"/>
      <c r="B280" s="322"/>
      <c r="C280" s="221"/>
      <c r="D280" s="220"/>
      <c r="E280" s="61" t="s">
        <v>39</v>
      </c>
      <c r="F280" s="61" t="s">
        <v>78</v>
      </c>
      <c r="G280" s="61" t="s">
        <v>296</v>
      </c>
      <c r="H280" s="220"/>
      <c r="I280" s="225"/>
      <c r="J280" s="102">
        <f>ROUNDUP('Tarifa 2026'!J281*(1+Instructions!$AA$9),3)</f>
        <v>11.8</v>
      </c>
      <c r="K280" s="103">
        <f t="shared" si="26"/>
        <v>12.39</v>
      </c>
      <c r="L280" s="103">
        <f t="shared" si="27"/>
        <v>14.16</v>
      </c>
      <c r="M280" s="73"/>
      <c r="N280" s="74"/>
    </row>
    <row r="281" spans="1:18" ht="24.95" customHeight="1">
      <c r="A281" s="223"/>
      <c r="B281" s="322"/>
      <c r="C281" s="221"/>
      <c r="D281" s="220"/>
      <c r="E281" s="61" t="s">
        <v>39</v>
      </c>
      <c r="F281" s="61" t="s">
        <v>62</v>
      </c>
      <c r="G281" s="61" t="s">
        <v>40</v>
      </c>
      <c r="H281" s="220"/>
      <c r="I281" s="225"/>
      <c r="J281" s="102">
        <f>ROUNDUP('Tarifa 2026'!J282*(1+Instructions!$AA$9),3)</f>
        <v>12.3</v>
      </c>
      <c r="K281" s="103">
        <f t="shared" ref="K281:K344" si="30">IF(I281=1,(ROUNDUP((J281*0.05+J281),3)),ROUNDUP((J281*0.05+J281),3))</f>
        <v>12.914999999999999</v>
      </c>
      <c r="L281" s="103">
        <f t="shared" ref="L281:L344" si="31">IF(I281=1,"-",IF(AND(I281="",L279="-"),"-",ROUNDUP((J281*0.2)+J281,3)))</f>
        <v>14.76</v>
      </c>
      <c r="M281" s="73"/>
      <c r="N281" s="74"/>
    </row>
    <row r="282" spans="1:18" ht="24.95" customHeight="1">
      <c r="A282" s="223"/>
      <c r="B282" s="322"/>
      <c r="C282" s="221"/>
      <c r="D282" s="220"/>
      <c r="E282" s="61" t="s">
        <v>39</v>
      </c>
      <c r="F282" s="61" t="s">
        <v>78</v>
      </c>
      <c r="G282" s="61" t="s">
        <v>40</v>
      </c>
      <c r="H282" s="220"/>
      <c r="I282" s="225"/>
      <c r="J282" s="102">
        <f>ROUNDUP('Tarifa 2026'!J283*(1+Instructions!$AA$9),3)</f>
        <v>13.8</v>
      </c>
      <c r="K282" s="103">
        <f t="shared" si="30"/>
        <v>14.49</v>
      </c>
      <c r="L282" s="103">
        <f t="shared" si="31"/>
        <v>16.559999999999999</v>
      </c>
      <c r="M282" s="73"/>
      <c r="N282" s="74"/>
    </row>
    <row r="283" spans="1:18" ht="24.95" customHeight="1">
      <c r="A283" s="226">
        <v>193</v>
      </c>
      <c r="B283" s="327" t="s">
        <v>53</v>
      </c>
      <c r="C283" s="228">
        <v>6618</v>
      </c>
      <c r="D283" s="229" t="s">
        <v>131</v>
      </c>
      <c r="E283" s="159" t="s">
        <v>41</v>
      </c>
      <c r="F283" s="159" t="s">
        <v>62</v>
      </c>
      <c r="G283" s="159" t="s">
        <v>296</v>
      </c>
      <c r="H283" s="229">
        <v>50</v>
      </c>
      <c r="I283" s="230">
        <v>5</v>
      </c>
      <c r="J283" s="165">
        <f>ROUNDUP('Tarifa 2026'!J284*(1+Instructions!$AA$9),3)</f>
        <v>9.8000000000000007</v>
      </c>
      <c r="K283" s="166">
        <f t="shared" si="30"/>
        <v>10.29</v>
      </c>
      <c r="L283" s="166">
        <f t="shared" si="31"/>
        <v>11.76</v>
      </c>
      <c r="M283" s="73"/>
      <c r="N283" s="74"/>
    </row>
    <row r="284" spans="1:18" ht="24.95" customHeight="1">
      <c r="A284" s="226"/>
      <c r="B284" s="327"/>
      <c r="C284" s="228"/>
      <c r="D284" s="229"/>
      <c r="E284" s="159" t="s">
        <v>41</v>
      </c>
      <c r="F284" s="159" t="s">
        <v>78</v>
      </c>
      <c r="G284" s="159" t="s">
        <v>296</v>
      </c>
      <c r="H284" s="229"/>
      <c r="I284" s="230"/>
      <c r="J284" s="165">
        <f>ROUNDUP('Tarifa 2026'!J285*(1+Instructions!$AA$9),3)</f>
        <v>11.8</v>
      </c>
      <c r="K284" s="166">
        <f t="shared" si="30"/>
        <v>12.39</v>
      </c>
      <c r="L284" s="166">
        <f t="shared" si="31"/>
        <v>14.16</v>
      </c>
      <c r="M284" s="73"/>
      <c r="N284" s="74"/>
    </row>
    <row r="285" spans="1:18" ht="24.95" customHeight="1">
      <c r="A285" s="226"/>
      <c r="B285" s="327"/>
      <c r="C285" s="228"/>
      <c r="D285" s="229"/>
      <c r="E285" s="159" t="s">
        <v>41</v>
      </c>
      <c r="F285" s="159" t="s">
        <v>62</v>
      </c>
      <c r="G285" s="159" t="s">
        <v>40</v>
      </c>
      <c r="H285" s="229"/>
      <c r="I285" s="230"/>
      <c r="J285" s="165">
        <f>ROUNDUP('Tarifa 2026'!J286*(1+Instructions!$AA$9),3)</f>
        <v>12.3</v>
      </c>
      <c r="K285" s="166">
        <f t="shared" si="30"/>
        <v>12.914999999999999</v>
      </c>
      <c r="L285" s="166">
        <f t="shared" si="31"/>
        <v>14.76</v>
      </c>
      <c r="M285" s="73"/>
      <c r="N285" s="74"/>
    </row>
    <row r="286" spans="1:18" ht="24.95" customHeight="1">
      <c r="A286" s="226"/>
      <c r="B286" s="327"/>
      <c r="C286" s="228"/>
      <c r="D286" s="229"/>
      <c r="E286" s="159" t="s">
        <v>41</v>
      </c>
      <c r="F286" s="159" t="s">
        <v>78</v>
      </c>
      <c r="G286" s="159" t="s">
        <v>40</v>
      </c>
      <c r="H286" s="229"/>
      <c r="I286" s="230"/>
      <c r="J286" s="165">
        <f>ROUNDUP('Tarifa 2026'!J287*(1+Instructions!$AA$9),3)</f>
        <v>13.8</v>
      </c>
      <c r="K286" s="166">
        <f t="shared" si="30"/>
        <v>14.49</v>
      </c>
      <c r="L286" s="166">
        <f t="shared" si="31"/>
        <v>16.559999999999999</v>
      </c>
      <c r="M286" s="73"/>
      <c r="N286" s="74"/>
    </row>
    <row r="287" spans="1:18" ht="21.75" customHeight="1">
      <c r="A287" s="223">
        <v>194</v>
      </c>
      <c r="B287" s="222" t="s">
        <v>53</v>
      </c>
      <c r="C287" s="221">
        <v>6609</v>
      </c>
      <c r="D287" s="220" t="s">
        <v>118</v>
      </c>
      <c r="E287" s="61" t="s">
        <v>39</v>
      </c>
      <c r="F287" s="61" t="s">
        <v>62</v>
      </c>
      <c r="G287" s="61" t="s">
        <v>44</v>
      </c>
      <c r="H287" s="220">
        <v>50</v>
      </c>
      <c r="I287" s="290">
        <v>5</v>
      </c>
      <c r="J287" s="102">
        <f>ROUNDUP('Tarifa 2026'!J288*(1+Instructions!$AA$9),3)</f>
        <v>7.5</v>
      </c>
      <c r="K287" s="103">
        <f t="shared" si="30"/>
        <v>7.875</v>
      </c>
      <c r="L287" s="103">
        <f t="shared" si="31"/>
        <v>9</v>
      </c>
      <c r="M287" s="73"/>
      <c r="N287" s="74"/>
    </row>
    <row r="288" spans="1:18" ht="21.75" customHeight="1">
      <c r="A288" s="223"/>
      <c r="B288" s="222"/>
      <c r="C288" s="221"/>
      <c r="D288" s="220"/>
      <c r="E288" s="61" t="s">
        <v>39</v>
      </c>
      <c r="F288" s="61" t="s">
        <v>78</v>
      </c>
      <c r="G288" s="61" t="s">
        <v>44</v>
      </c>
      <c r="H288" s="220"/>
      <c r="I288" s="290"/>
      <c r="J288" s="102">
        <f>ROUNDUP('Tarifa 2026'!J289*(1+Instructions!$AA$9),3)</f>
        <v>9.6</v>
      </c>
      <c r="K288" s="103">
        <f t="shared" si="30"/>
        <v>10.08</v>
      </c>
      <c r="L288" s="103">
        <f t="shared" si="31"/>
        <v>11.52</v>
      </c>
      <c r="M288" s="73"/>
      <c r="N288" s="74"/>
    </row>
    <row r="289" spans="1:18" ht="21.75" customHeight="1">
      <c r="A289" s="223"/>
      <c r="B289" s="222"/>
      <c r="C289" s="221"/>
      <c r="D289" s="220"/>
      <c r="E289" s="61" t="s">
        <v>39</v>
      </c>
      <c r="F289" s="61" t="s">
        <v>79</v>
      </c>
      <c r="G289" s="61" t="s">
        <v>44</v>
      </c>
      <c r="H289" s="220"/>
      <c r="I289" s="290"/>
      <c r="J289" s="102">
        <f>ROUNDUP('Tarifa 2026'!J290*(1+Instructions!$AA$9),3)</f>
        <v>10.4</v>
      </c>
      <c r="K289" s="103">
        <f t="shared" si="30"/>
        <v>10.92</v>
      </c>
      <c r="L289" s="103">
        <f t="shared" si="31"/>
        <v>12.48</v>
      </c>
      <c r="M289" s="73"/>
      <c r="N289" s="74"/>
    </row>
    <row r="290" spans="1:18" ht="21.75" customHeight="1">
      <c r="A290" s="223"/>
      <c r="B290" s="222"/>
      <c r="C290" s="221"/>
      <c r="D290" s="220"/>
      <c r="E290" s="61" t="s">
        <v>39</v>
      </c>
      <c r="F290" s="61" t="s">
        <v>86</v>
      </c>
      <c r="G290" s="61" t="s">
        <v>44</v>
      </c>
      <c r="H290" s="220"/>
      <c r="I290" s="290"/>
      <c r="J290" s="102">
        <f>ROUNDUP('Tarifa 2026'!J291*(1+Instructions!$AA$9),3)</f>
        <v>11.9</v>
      </c>
      <c r="K290" s="103">
        <f t="shared" si="30"/>
        <v>12.494999999999999</v>
      </c>
      <c r="L290" s="103">
        <f t="shared" si="31"/>
        <v>14.28</v>
      </c>
      <c r="M290" s="73"/>
      <c r="N290" s="74"/>
    </row>
    <row r="291" spans="1:18" ht="21.75" customHeight="1">
      <c r="A291" s="223"/>
      <c r="B291" s="222"/>
      <c r="C291" s="221"/>
      <c r="D291" s="220"/>
      <c r="E291" s="61" t="s">
        <v>39</v>
      </c>
      <c r="F291" s="61" t="s">
        <v>62</v>
      </c>
      <c r="G291" s="61" t="s">
        <v>40</v>
      </c>
      <c r="H291" s="220"/>
      <c r="I291" s="290"/>
      <c r="J291" s="102">
        <f>ROUNDUP('Tarifa 2026'!J292*(1+Instructions!$AA$9),3)</f>
        <v>8</v>
      </c>
      <c r="K291" s="103">
        <f t="shared" si="30"/>
        <v>8.4</v>
      </c>
      <c r="L291" s="103">
        <f t="shared" si="31"/>
        <v>9.6</v>
      </c>
      <c r="M291" s="73"/>
      <c r="N291" s="74"/>
    </row>
    <row r="292" spans="1:18" ht="21.75" customHeight="1">
      <c r="A292" s="223"/>
      <c r="B292" s="222"/>
      <c r="C292" s="221"/>
      <c r="D292" s="220"/>
      <c r="E292" s="61" t="s">
        <v>39</v>
      </c>
      <c r="F292" s="61" t="s">
        <v>78</v>
      </c>
      <c r="G292" s="61" t="s">
        <v>40</v>
      </c>
      <c r="H292" s="220"/>
      <c r="I292" s="290"/>
      <c r="J292" s="102">
        <f>ROUNDUP('Tarifa 2026'!J293*(1+Instructions!$AA$9),3)</f>
        <v>10.6</v>
      </c>
      <c r="K292" s="103">
        <f t="shared" si="30"/>
        <v>11.13</v>
      </c>
      <c r="L292" s="103">
        <f t="shared" si="31"/>
        <v>12.72</v>
      </c>
      <c r="M292" s="73"/>
      <c r="N292" s="74"/>
    </row>
    <row r="293" spans="1:18" ht="21.75" customHeight="1">
      <c r="A293" s="223"/>
      <c r="B293" s="222"/>
      <c r="C293" s="221"/>
      <c r="D293" s="220"/>
      <c r="E293" s="61" t="s">
        <v>39</v>
      </c>
      <c r="F293" s="61" t="s">
        <v>79</v>
      </c>
      <c r="G293" s="61" t="s">
        <v>40</v>
      </c>
      <c r="H293" s="220"/>
      <c r="I293" s="290"/>
      <c r="J293" s="102">
        <f>ROUNDUP('Tarifa 2026'!J294*(1+Instructions!$AA$9),3)</f>
        <v>11.3</v>
      </c>
      <c r="K293" s="103">
        <f t="shared" si="30"/>
        <v>11.865</v>
      </c>
      <c r="L293" s="103">
        <f t="shared" si="31"/>
        <v>13.56</v>
      </c>
      <c r="M293" s="73"/>
      <c r="N293" s="74"/>
    </row>
    <row r="294" spans="1:18" ht="21.75" customHeight="1">
      <c r="A294" s="223"/>
      <c r="B294" s="222"/>
      <c r="C294" s="221"/>
      <c r="D294" s="220"/>
      <c r="E294" s="61" t="s">
        <v>39</v>
      </c>
      <c r="F294" s="61" t="s">
        <v>86</v>
      </c>
      <c r="G294" s="61" t="s">
        <v>40</v>
      </c>
      <c r="H294" s="220"/>
      <c r="I294" s="290"/>
      <c r="J294" s="102">
        <f>ROUNDUP('Tarifa 2026'!J295*(1+Instructions!$AA$9),3)</f>
        <v>12.4</v>
      </c>
      <c r="K294" s="103">
        <f t="shared" si="30"/>
        <v>13.02</v>
      </c>
      <c r="L294" s="103">
        <f t="shared" si="31"/>
        <v>14.88</v>
      </c>
      <c r="M294" s="73"/>
      <c r="N294" s="74"/>
    </row>
    <row r="295" spans="1:18" ht="21.75" customHeight="1">
      <c r="A295" s="320">
        <v>194</v>
      </c>
      <c r="B295" s="227" t="s">
        <v>53</v>
      </c>
      <c r="C295" s="321">
        <v>6644</v>
      </c>
      <c r="D295" s="229" t="s">
        <v>119</v>
      </c>
      <c r="E295" s="159" t="s">
        <v>41</v>
      </c>
      <c r="F295" s="159" t="s">
        <v>62</v>
      </c>
      <c r="G295" s="159" t="s">
        <v>44</v>
      </c>
      <c r="H295" s="229">
        <v>50</v>
      </c>
      <c r="I295" s="230">
        <v>5</v>
      </c>
      <c r="J295" s="165">
        <f>ROUNDUP('Tarifa 2026'!J296*(1+Instructions!$AA$9),3)</f>
        <v>7.5</v>
      </c>
      <c r="K295" s="166">
        <f t="shared" si="30"/>
        <v>7.875</v>
      </c>
      <c r="L295" s="166">
        <f t="shared" si="31"/>
        <v>9</v>
      </c>
      <c r="M295" s="73"/>
      <c r="N295" s="74"/>
    </row>
    <row r="296" spans="1:18" s="51" customFormat="1" ht="21.75" customHeight="1">
      <c r="A296" s="320"/>
      <c r="B296" s="227"/>
      <c r="C296" s="321"/>
      <c r="D296" s="229"/>
      <c r="E296" s="159" t="s">
        <v>41</v>
      </c>
      <c r="F296" s="159" t="s">
        <v>78</v>
      </c>
      <c r="G296" s="159" t="s">
        <v>44</v>
      </c>
      <c r="H296" s="229"/>
      <c r="I296" s="230"/>
      <c r="J296" s="165">
        <f>ROUNDUP('Tarifa 2026'!J297*(1+Instructions!$AA$9),3)</f>
        <v>9.6</v>
      </c>
      <c r="K296" s="166">
        <f t="shared" si="30"/>
        <v>10.08</v>
      </c>
      <c r="L296" s="166">
        <f t="shared" si="31"/>
        <v>11.52</v>
      </c>
      <c r="M296" s="73"/>
      <c r="N296" s="74"/>
      <c r="O296"/>
      <c r="P296"/>
      <c r="Q296"/>
      <c r="R296"/>
    </row>
    <row r="297" spans="1:18" s="51" customFormat="1" ht="21.75" customHeight="1">
      <c r="A297" s="320"/>
      <c r="B297" s="227"/>
      <c r="C297" s="321"/>
      <c r="D297" s="229"/>
      <c r="E297" s="159" t="s">
        <v>41</v>
      </c>
      <c r="F297" s="159" t="s">
        <v>62</v>
      </c>
      <c r="G297" s="159" t="s">
        <v>40</v>
      </c>
      <c r="H297" s="229"/>
      <c r="I297" s="230"/>
      <c r="J297" s="165">
        <f>ROUNDUP('Tarifa 2026'!J298*(1+Instructions!$AA$9),3)</f>
        <v>8</v>
      </c>
      <c r="K297" s="166">
        <f t="shared" si="30"/>
        <v>8.4</v>
      </c>
      <c r="L297" s="166">
        <f t="shared" si="31"/>
        <v>9.6</v>
      </c>
      <c r="M297" s="73"/>
      <c r="N297" s="74"/>
      <c r="O297"/>
      <c r="P297"/>
      <c r="Q297"/>
      <c r="R297"/>
    </row>
    <row r="298" spans="1:18" s="51" customFormat="1" ht="21.75" customHeight="1">
      <c r="A298" s="320"/>
      <c r="B298" s="227"/>
      <c r="C298" s="321"/>
      <c r="D298" s="229"/>
      <c r="E298" s="159" t="s">
        <v>41</v>
      </c>
      <c r="F298" s="159" t="s">
        <v>78</v>
      </c>
      <c r="G298" s="159" t="s">
        <v>40</v>
      </c>
      <c r="H298" s="229"/>
      <c r="I298" s="230"/>
      <c r="J298" s="165">
        <f>ROUNDUP('Tarifa 2026'!J299*(1+Instructions!$AA$9),3)</f>
        <v>10.6</v>
      </c>
      <c r="K298" s="166">
        <f t="shared" si="30"/>
        <v>11.13</v>
      </c>
      <c r="L298" s="166">
        <f t="shared" si="31"/>
        <v>12.72</v>
      </c>
      <c r="M298" s="73"/>
      <c r="N298" s="74"/>
      <c r="O298"/>
      <c r="P298"/>
      <c r="Q298"/>
      <c r="R298"/>
    </row>
    <row r="299" spans="1:18" s="51" customFormat="1" ht="21.75" customHeight="1">
      <c r="A299" s="223">
        <v>194</v>
      </c>
      <c r="B299" s="322" t="s">
        <v>53</v>
      </c>
      <c r="C299" s="221">
        <v>6607</v>
      </c>
      <c r="D299" s="220" t="s">
        <v>120</v>
      </c>
      <c r="E299" s="61" t="s">
        <v>39</v>
      </c>
      <c r="F299" s="61" t="s">
        <v>62</v>
      </c>
      <c r="G299" s="61" t="s">
        <v>44</v>
      </c>
      <c r="H299" s="220">
        <v>50</v>
      </c>
      <c r="I299" s="225">
        <v>5</v>
      </c>
      <c r="J299" s="102">
        <f>ROUNDUP('Tarifa 2026'!J300*(1+Instructions!$AA$9),3)</f>
        <v>8.1</v>
      </c>
      <c r="K299" s="103">
        <f t="shared" si="30"/>
        <v>8.5050000000000008</v>
      </c>
      <c r="L299" s="103">
        <f t="shared" si="31"/>
        <v>9.7200000000000006</v>
      </c>
      <c r="M299" s="73"/>
      <c r="N299" s="74"/>
      <c r="O299"/>
      <c r="P299"/>
      <c r="Q299"/>
      <c r="R299"/>
    </row>
    <row r="300" spans="1:18" ht="24.95" customHeight="1">
      <c r="A300" s="223"/>
      <c r="B300" s="322"/>
      <c r="C300" s="221"/>
      <c r="D300" s="220"/>
      <c r="E300" s="61" t="s">
        <v>39</v>
      </c>
      <c r="F300" s="61" t="s">
        <v>78</v>
      </c>
      <c r="G300" s="61" t="s">
        <v>44</v>
      </c>
      <c r="H300" s="220"/>
      <c r="I300" s="225"/>
      <c r="J300" s="102">
        <f>ROUNDUP('Tarifa 2026'!J301*(1+Instructions!$AA$9),3)</f>
        <v>10.199999999999999</v>
      </c>
      <c r="K300" s="103">
        <f t="shared" si="30"/>
        <v>10.71</v>
      </c>
      <c r="L300" s="103">
        <f t="shared" si="31"/>
        <v>12.24</v>
      </c>
      <c r="M300" s="73"/>
      <c r="N300" s="74"/>
    </row>
    <row r="301" spans="1:18" ht="24.95" customHeight="1">
      <c r="A301" s="223"/>
      <c r="B301" s="322"/>
      <c r="C301" s="221"/>
      <c r="D301" s="220"/>
      <c r="E301" s="61" t="s">
        <v>39</v>
      </c>
      <c r="F301" s="61" t="s">
        <v>62</v>
      </c>
      <c r="G301" s="61" t="s">
        <v>40</v>
      </c>
      <c r="H301" s="220"/>
      <c r="I301" s="225"/>
      <c r="J301" s="102">
        <f>ROUNDUP('Tarifa 2026'!J302*(1+Instructions!$AA$9),3)</f>
        <v>8.6</v>
      </c>
      <c r="K301" s="103">
        <f t="shared" si="30"/>
        <v>9.0299999999999994</v>
      </c>
      <c r="L301" s="103">
        <f t="shared" si="31"/>
        <v>10.32</v>
      </c>
      <c r="M301" s="73"/>
      <c r="N301" s="74"/>
    </row>
    <row r="302" spans="1:18" ht="24.95" customHeight="1">
      <c r="A302" s="223"/>
      <c r="B302" s="322"/>
      <c r="C302" s="221"/>
      <c r="D302" s="220"/>
      <c r="E302" s="61" t="s">
        <v>39</v>
      </c>
      <c r="F302" s="61" t="s">
        <v>78</v>
      </c>
      <c r="G302" s="61" t="s">
        <v>40</v>
      </c>
      <c r="H302" s="220"/>
      <c r="I302" s="225"/>
      <c r="J302" s="102">
        <f>ROUNDUP('Tarifa 2026'!J303*(1+Instructions!$AA$9),3)</f>
        <v>11.2</v>
      </c>
      <c r="K302" s="103">
        <f t="shared" si="30"/>
        <v>11.76</v>
      </c>
      <c r="L302" s="103">
        <f t="shared" si="31"/>
        <v>13.44</v>
      </c>
      <c r="M302" s="73"/>
      <c r="N302" s="74"/>
    </row>
    <row r="303" spans="1:18" ht="24.95" customHeight="1">
      <c r="A303" s="226">
        <v>196</v>
      </c>
      <c r="B303" s="227" t="s">
        <v>53</v>
      </c>
      <c r="C303" s="228">
        <v>6632</v>
      </c>
      <c r="D303" s="229" t="s">
        <v>26</v>
      </c>
      <c r="E303" s="159" t="s">
        <v>39</v>
      </c>
      <c r="F303" s="159" t="s">
        <v>62</v>
      </c>
      <c r="G303" s="159" t="s">
        <v>44</v>
      </c>
      <c r="H303" s="229">
        <v>50</v>
      </c>
      <c r="I303" s="230">
        <v>5</v>
      </c>
      <c r="J303" s="165">
        <f>ROUNDUP('Tarifa 2026'!J304*(1+Instructions!$AA$9),3)</f>
        <v>7</v>
      </c>
      <c r="K303" s="166">
        <f t="shared" si="30"/>
        <v>7.35</v>
      </c>
      <c r="L303" s="166">
        <f t="shared" si="31"/>
        <v>8.4</v>
      </c>
      <c r="M303" s="73"/>
      <c r="N303" s="74"/>
    </row>
    <row r="304" spans="1:18" ht="24.95" customHeight="1">
      <c r="A304" s="226"/>
      <c r="B304" s="227"/>
      <c r="C304" s="228"/>
      <c r="D304" s="229"/>
      <c r="E304" s="159" t="s">
        <v>39</v>
      </c>
      <c r="F304" s="159" t="s">
        <v>78</v>
      </c>
      <c r="G304" s="159" t="s">
        <v>44</v>
      </c>
      <c r="H304" s="229"/>
      <c r="I304" s="230"/>
      <c r="J304" s="167">
        <f>ROUNDUP('Tarifa 2026'!J305*(1+Instructions!$AA$9),3)</f>
        <v>7.7</v>
      </c>
      <c r="K304" s="166">
        <f t="shared" si="30"/>
        <v>8.0850000000000009</v>
      </c>
      <c r="L304" s="166">
        <f t="shared" si="31"/>
        <v>9.24</v>
      </c>
      <c r="M304" s="73"/>
      <c r="N304" s="74"/>
    </row>
    <row r="305" spans="1:18" ht="24.95" customHeight="1">
      <c r="A305" s="226"/>
      <c r="B305" s="227"/>
      <c r="C305" s="228"/>
      <c r="D305" s="229"/>
      <c r="E305" s="159" t="s">
        <v>39</v>
      </c>
      <c r="F305" s="159" t="s">
        <v>62</v>
      </c>
      <c r="G305" s="159" t="s">
        <v>40</v>
      </c>
      <c r="H305" s="229"/>
      <c r="I305" s="230"/>
      <c r="J305" s="167">
        <f>ROUNDUP('Tarifa 2026'!J306*(1+Instructions!$AA$9),3)</f>
        <v>7.7</v>
      </c>
      <c r="K305" s="166">
        <f t="shared" si="30"/>
        <v>8.0850000000000009</v>
      </c>
      <c r="L305" s="166">
        <f t="shared" si="31"/>
        <v>9.24</v>
      </c>
      <c r="M305" s="73"/>
      <c r="N305" s="74"/>
    </row>
    <row r="306" spans="1:18" ht="24.95" customHeight="1">
      <c r="A306" s="226"/>
      <c r="B306" s="227"/>
      <c r="C306" s="228"/>
      <c r="D306" s="229"/>
      <c r="E306" s="159" t="s">
        <v>39</v>
      </c>
      <c r="F306" s="159" t="s">
        <v>78</v>
      </c>
      <c r="G306" s="159" t="s">
        <v>40</v>
      </c>
      <c r="H306" s="229"/>
      <c r="I306" s="230"/>
      <c r="J306" s="165">
        <f>ROUNDUP('Tarifa 2026'!J307*(1+Instructions!$AA$9),3)</f>
        <v>8.5</v>
      </c>
      <c r="K306" s="166">
        <f t="shared" si="30"/>
        <v>8.9250000000000007</v>
      </c>
      <c r="L306" s="166">
        <f t="shared" si="31"/>
        <v>10.199999999999999</v>
      </c>
      <c r="M306" s="73"/>
      <c r="N306" s="74"/>
    </row>
    <row r="307" spans="1:18" ht="24.95" customHeight="1">
      <c r="A307" s="223">
        <v>196</v>
      </c>
      <c r="B307" s="222" t="s">
        <v>53</v>
      </c>
      <c r="C307" s="221">
        <v>6634</v>
      </c>
      <c r="D307" s="220" t="s">
        <v>52</v>
      </c>
      <c r="E307" s="61" t="s">
        <v>41</v>
      </c>
      <c r="F307" s="61" t="s">
        <v>62</v>
      </c>
      <c r="G307" s="61" t="s">
        <v>44</v>
      </c>
      <c r="H307" s="328">
        <v>50</v>
      </c>
      <c r="I307" s="225">
        <v>5</v>
      </c>
      <c r="J307" s="102">
        <f>ROUNDUP('Tarifa 2026'!J308*(1+Instructions!$AA$9),3)</f>
        <v>7.5</v>
      </c>
      <c r="K307" s="103">
        <f t="shared" si="30"/>
        <v>7.875</v>
      </c>
      <c r="L307" s="103">
        <f t="shared" si="31"/>
        <v>9</v>
      </c>
      <c r="M307" s="73"/>
      <c r="N307" s="74"/>
    </row>
    <row r="308" spans="1:18" ht="24.95" customHeight="1">
      <c r="A308" s="223"/>
      <c r="B308" s="222"/>
      <c r="C308" s="221"/>
      <c r="D308" s="220"/>
      <c r="E308" s="61" t="s">
        <v>41</v>
      </c>
      <c r="F308" s="61" t="s">
        <v>78</v>
      </c>
      <c r="G308" s="61" t="s">
        <v>44</v>
      </c>
      <c r="H308" s="328"/>
      <c r="I308" s="225"/>
      <c r="J308" s="102">
        <f>ROUNDUP('Tarifa 2026'!J309*(1+Instructions!$AA$9),3)</f>
        <v>9.9</v>
      </c>
      <c r="K308" s="103">
        <f t="shared" si="30"/>
        <v>10.395</v>
      </c>
      <c r="L308" s="103">
        <f t="shared" si="31"/>
        <v>11.88</v>
      </c>
      <c r="M308" s="73"/>
      <c r="N308" s="74"/>
    </row>
    <row r="309" spans="1:18" ht="24.95" customHeight="1">
      <c r="A309" s="223"/>
      <c r="B309" s="222"/>
      <c r="C309" s="221"/>
      <c r="D309" s="220"/>
      <c r="E309" s="61" t="s">
        <v>41</v>
      </c>
      <c r="F309" s="61" t="s">
        <v>62</v>
      </c>
      <c r="G309" s="61" t="s">
        <v>40</v>
      </c>
      <c r="H309" s="328"/>
      <c r="I309" s="225"/>
      <c r="J309" s="102">
        <f>ROUNDUP('Tarifa 2026'!J310*(1+Instructions!$AA$9),3)</f>
        <v>8</v>
      </c>
      <c r="K309" s="103">
        <f t="shared" si="30"/>
        <v>8.4</v>
      </c>
      <c r="L309" s="103">
        <f t="shared" si="31"/>
        <v>9.6</v>
      </c>
      <c r="M309" s="73"/>
      <c r="N309" s="74"/>
    </row>
    <row r="310" spans="1:18" s="51" customFormat="1" ht="24.95" customHeight="1">
      <c r="A310" s="223"/>
      <c r="B310" s="222"/>
      <c r="C310" s="221"/>
      <c r="D310" s="220"/>
      <c r="E310" s="61" t="s">
        <v>41</v>
      </c>
      <c r="F310" s="61" t="s">
        <v>78</v>
      </c>
      <c r="G310" s="61" t="s">
        <v>40</v>
      </c>
      <c r="H310" s="328"/>
      <c r="I310" s="225"/>
      <c r="J310" s="102">
        <f>ROUNDUP('Tarifa 2026'!J311*(1+Instructions!$AA$9),3)</f>
        <v>10.8</v>
      </c>
      <c r="K310" s="103">
        <f t="shared" si="30"/>
        <v>11.34</v>
      </c>
      <c r="L310" s="103">
        <f t="shared" si="31"/>
        <v>12.96</v>
      </c>
      <c r="M310" s="73"/>
      <c r="N310" s="74"/>
      <c r="O310"/>
      <c r="P310"/>
      <c r="Q310"/>
      <c r="R310"/>
    </row>
    <row r="311" spans="1:18" s="51" customFormat="1" ht="24.95" customHeight="1">
      <c r="A311" s="329">
        <v>196</v>
      </c>
      <c r="B311" s="324" t="s">
        <v>53</v>
      </c>
      <c r="C311" s="325">
        <v>6638</v>
      </c>
      <c r="D311" s="313" t="s">
        <v>49</v>
      </c>
      <c r="E311" s="185" t="s">
        <v>39</v>
      </c>
      <c r="F311" s="185" t="s">
        <v>62</v>
      </c>
      <c r="G311" s="185" t="s">
        <v>44</v>
      </c>
      <c r="H311" s="313">
        <v>50</v>
      </c>
      <c r="I311" s="314">
        <v>5</v>
      </c>
      <c r="J311" s="168">
        <f>ROUNDUP('Tarifa 2026'!J312*(1+Instructions!$AA$9),3)</f>
        <v>7.5</v>
      </c>
      <c r="K311" s="187">
        <f t="shared" si="30"/>
        <v>7.875</v>
      </c>
      <c r="L311" s="187">
        <f t="shared" si="31"/>
        <v>9</v>
      </c>
      <c r="M311" s="73"/>
      <c r="N311" s="74"/>
      <c r="O311"/>
      <c r="P311"/>
      <c r="Q311"/>
      <c r="R311"/>
    </row>
    <row r="312" spans="1:18" s="51" customFormat="1" ht="24.95" customHeight="1">
      <c r="A312" s="329"/>
      <c r="B312" s="324"/>
      <c r="C312" s="325"/>
      <c r="D312" s="313"/>
      <c r="E312" s="185" t="s">
        <v>39</v>
      </c>
      <c r="F312" s="185" t="s">
        <v>78</v>
      </c>
      <c r="G312" s="185" t="s">
        <v>44</v>
      </c>
      <c r="H312" s="313"/>
      <c r="I312" s="314"/>
      <c r="J312" s="168">
        <f>ROUNDUP('Tarifa 2026'!J313*(1+Instructions!$AA$9),3)</f>
        <v>9.9</v>
      </c>
      <c r="K312" s="187">
        <f t="shared" si="30"/>
        <v>10.395</v>
      </c>
      <c r="L312" s="187">
        <f t="shared" si="31"/>
        <v>11.88</v>
      </c>
      <c r="M312" s="73"/>
      <c r="N312" s="74"/>
      <c r="O312"/>
      <c r="P312"/>
      <c r="Q312"/>
      <c r="R312"/>
    </row>
    <row r="313" spans="1:18" s="51" customFormat="1" ht="24.95" customHeight="1">
      <c r="A313" s="329"/>
      <c r="B313" s="324"/>
      <c r="C313" s="325"/>
      <c r="D313" s="313"/>
      <c r="E313" s="185" t="s">
        <v>39</v>
      </c>
      <c r="F313" s="185" t="s">
        <v>79</v>
      </c>
      <c r="G313" s="185" t="s">
        <v>44</v>
      </c>
      <c r="H313" s="313"/>
      <c r="I313" s="314"/>
      <c r="J313" s="168">
        <f>ROUNDUP('Tarifa 2026'!J314*(1+Instructions!$AA$9),3)</f>
        <v>10.4</v>
      </c>
      <c r="K313" s="187">
        <f t="shared" si="30"/>
        <v>10.92</v>
      </c>
      <c r="L313" s="187">
        <f t="shared" si="31"/>
        <v>12.48</v>
      </c>
      <c r="M313" s="73"/>
      <c r="N313" s="74"/>
      <c r="O313"/>
      <c r="P313"/>
      <c r="Q313"/>
      <c r="R313"/>
    </row>
    <row r="314" spans="1:18" ht="21.75" customHeight="1">
      <c r="A314" s="329"/>
      <c r="B314" s="324"/>
      <c r="C314" s="325"/>
      <c r="D314" s="313"/>
      <c r="E314" s="185" t="s">
        <v>39</v>
      </c>
      <c r="F314" s="185" t="s">
        <v>62</v>
      </c>
      <c r="G314" s="185" t="s">
        <v>40</v>
      </c>
      <c r="H314" s="313"/>
      <c r="I314" s="314"/>
      <c r="J314" s="168">
        <f>ROUNDUP('Tarifa 2026'!J315*(1+Instructions!$AA$9),3)</f>
        <v>8</v>
      </c>
      <c r="K314" s="187">
        <f t="shared" si="30"/>
        <v>8.4</v>
      </c>
      <c r="L314" s="187">
        <f t="shared" si="31"/>
        <v>9.6</v>
      </c>
      <c r="M314" s="73"/>
      <c r="N314" s="74"/>
    </row>
    <row r="315" spans="1:18" ht="21.75" customHeight="1">
      <c r="A315" s="329"/>
      <c r="B315" s="324"/>
      <c r="C315" s="325"/>
      <c r="D315" s="313"/>
      <c r="E315" s="185" t="s">
        <v>39</v>
      </c>
      <c r="F315" s="185" t="s">
        <v>78</v>
      </c>
      <c r="G315" s="185" t="s">
        <v>40</v>
      </c>
      <c r="H315" s="313"/>
      <c r="I315" s="314"/>
      <c r="J315" s="168">
        <f>ROUNDUP('Tarifa 2026'!J316*(1+Instructions!$AA$9),3)</f>
        <v>10.8</v>
      </c>
      <c r="K315" s="187">
        <f t="shared" si="30"/>
        <v>11.34</v>
      </c>
      <c r="L315" s="187">
        <f t="shared" si="31"/>
        <v>12.96</v>
      </c>
      <c r="M315" s="73"/>
      <c r="N315" s="74"/>
    </row>
    <row r="316" spans="1:18" ht="21.75" customHeight="1">
      <c r="A316" s="329"/>
      <c r="B316" s="324"/>
      <c r="C316" s="325"/>
      <c r="D316" s="313"/>
      <c r="E316" s="185" t="s">
        <v>39</v>
      </c>
      <c r="F316" s="185" t="s">
        <v>79</v>
      </c>
      <c r="G316" s="185" t="s">
        <v>40</v>
      </c>
      <c r="H316" s="313"/>
      <c r="I316" s="314"/>
      <c r="J316" s="168">
        <f>ROUNDUP('Tarifa 2026'!J317*(1+Instructions!$AA$9),3)</f>
        <v>11.3</v>
      </c>
      <c r="K316" s="187">
        <f t="shared" si="30"/>
        <v>11.865</v>
      </c>
      <c r="L316" s="187">
        <f t="shared" si="31"/>
        <v>13.56</v>
      </c>
      <c r="M316" s="73"/>
      <c r="N316" s="74"/>
    </row>
    <row r="317" spans="1:18" ht="21.75" customHeight="1">
      <c r="A317" s="315">
        <v>71</v>
      </c>
      <c r="B317" s="316" t="s">
        <v>164</v>
      </c>
      <c r="C317" s="317" t="s">
        <v>458</v>
      </c>
      <c r="D317" s="257" t="s">
        <v>326</v>
      </c>
      <c r="E317" s="213" t="s">
        <v>107</v>
      </c>
      <c r="F317" s="112" t="s">
        <v>62</v>
      </c>
      <c r="G317" s="214" t="s">
        <v>44</v>
      </c>
      <c r="H317" s="257">
        <v>50</v>
      </c>
      <c r="I317" s="257">
        <v>1</v>
      </c>
      <c r="J317" s="102">
        <f>ROUNDUP('Tarifa 2026'!J318*(1+Instructions!$AA$9),3)</f>
        <v>9.9</v>
      </c>
      <c r="K317" s="103">
        <f t="shared" si="30"/>
        <v>10.395</v>
      </c>
      <c r="L317" s="103" t="str">
        <f t="shared" si="31"/>
        <v>-</v>
      </c>
      <c r="M317" s="73"/>
      <c r="N317" s="74"/>
    </row>
    <row r="318" spans="1:18" s="51" customFormat="1" ht="24.95" customHeight="1">
      <c r="A318" s="315"/>
      <c r="B318" s="316"/>
      <c r="C318" s="317"/>
      <c r="D318" s="257"/>
      <c r="E318" s="213" t="s">
        <v>107</v>
      </c>
      <c r="F318" s="112" t="s">
        <v>78</v>
      </c>
      <c r="G318" s="214" t="s">
        <v>44</v>
      </c>
      <c r="H318" s="257"/>
      <c r="I318" s="257"/>
      <c r="J318" s="102">
        <f>ROUNDUP('Tarifa 2026'!J319*(1+Instructions!$AA$9),3)</f>
        <v>11</v>
      </c>
      <c r="K318" s="103">
        <f t="shared" si="30"/>
        <v>11.55</v>
      </c>
      <c r="L318" s="103" t="str">
        <f>IF(I317=1,"-",IF(AND(I317="",L317="-"),"-",ROUNDUP((J318*0.2)+J318,3)))</f>
        <v>-</v>
      </c>
      <c r="M318" s="73"/>
      <c r="N318" s="74"/>
      <c r="O318"/>
      <c r="P318"/>
      <c r="Q318"/>
      <c r="R318"/>
    </row>
    <row r="319" spans="1:18" s="51" customFormat="1" ht="24.95" customHeight="1">
      <c r="A319" s="315"/>
      <c r="B319" s="316"/>
      <c r="C319" s="317"/>
      <c r="D319" s="257"/>
      <c r="E319" s="213" t="s">
        <v>107</v>
      </c>
      <c r="F319" s="112" t="s">
        <v>79</v>
      </c>
      <c r="G319" s="214" t="s">
        <v>44</v>
      </c>
      <c r="H319" s="257"/>
      <c r="I319" s="257"/>
      <c r="J319" s="102">
        <f>ROUNDUP('Tarifa 2026'!J320*(1+Instructions!$AA$9),3)</f>
        <v>12</v>
      </c>
      <c r="K319" s="103">
        <f t="shared" si="30"/>
        <v>12.6</v>
      </c>
      <c r="L319" s="103" t="str">
        <f t="shared" si="31"/>
        <v>-</v>
      </c>
      <c r="M319" s="73"/>
      <c r="N319" s="74"/>
      <c r="O319"/>
      <c r="P319"/>
      <c r="Q319"/>
      <c r="R319"/>
    </row>
    <row r="320" spans="1:18" s="51" customFormat="1" ht="24.95" customHeight="1">
      <c r="A320" s="315"/>
      <c r="B320" s="316"/>
      <c r="C320" s="317"/>
      <c r="D320" s="257"/>
      <c r="E320" s="213" t="s">
        <v>107</v>
      </c>
      <c r="F320" s="112" t="s">
        <v>86</v>
      </c>
      <c r="G320" s="214" t="s">
        <v>44</v>
      </c>
      <c r="H320" s="257"/>
      <c r="I320" s="257"/>
      <c r="J320" s="102">
        <f>ROUNDUP('Tarifa 2026'!J321*(1+Instructions!$AA$9),3)</f>
        <v>13</v>
      </c>
      <c r="K320" s="103">
        <f t="shared" ref="K320" si="32">IF(I320=1,(ROUNDUP((J320*0.05+J320),3)),ROUNDUP((J320*0.05+J320),3))</f>
        <v>13.65</v>
      </c>
      <c r="L320" s="103" t="str">
        <f t="shared" ref="L320" si="33">IF(I320=1,"-",IF(AND(I320="",L318="-"),"-",ROUNDUP((J320*0.2)+J320,3)))</f>
        <v>-</v>
      </c>
      <c r="M320" s="73"/>
      <c r="N320" s="74"/>
      <c r="O320"/>
      <c r="P320"/>
      <c r="Q320"/>
      <c r="R320"/>
    </row>
    <row r="321" spans="1:45" s="51" customFormat="1" ht="24.95" customHeight="1">
      <c r="A321" s="315"/>
      <c r="B321" s="316"/>
      <c r="C321" s="317"/>
      <c r="D321" s="257"/>
      <c r="E321" s="213" t="s">
        <v>107</v>
      </c>
      <c r="F321" s="112" t="s">
        <v>62</v>
      </c>
      <c r="G321" s="214" t="s">
        <v>40</v>
      </c>
      <c r="H321" s="257"/>
      <c r="I321" s="257"/>
      <c r="J321" s="102">
        <f>ROUNDUP('Tarifa 2026'!J322*(1+Instructions!$AA$9),3)</f>
        <v>11</v>
      </c>
      <c r="K321" s="103">
        <f t="shared" si="30"/>
        <v>11.55</v>
      </c>
      <c r="L321" s="103" t="str">
        <f>IF(I321=1,"-",IF(AND(I321="",L319="-"),"-",ROUNDUP((J321*0.2)+J321,3)))</f>
        <v>-</v>
      </c>
      <c r="M321" s="73"/>
      <c r="N321" s="74"/>
      <c r="O321"/>
      <c r="P321"/>
      <c r="Q321"/>
      <c r="R321"/>
    </row>
    <row r="322" spans="1:45" s="6" customFormat="1" ht="21.75" customHeight="1">
      <c r="A322" s="315"/>
      <c r="B322" s="316"/>
      <c r="C322" s="317"/>
      <c r="D322" s="257"/>
      <c r="E322" s="213" t="s">
        <v>107</v>
      </c>
      <c r="F322" s="112" t="s">
        <v>78</v>
      </c>
      <c r="G322" s="214" t="s">
        <v>40</v>
      </c>
      <c r="H322" s="257"/>
      <c r="I322" s="257"/>
      <c r="J322" s="102">
        <f>ROUNDUP('Tarifa 2026'!J323*(1+Instructions!$AA$9),3)</f>
        <v>12</v>
      </c>
      <c r="K322" s="103">
        <f t="shared" si="30"/>
        <v>12.6</v>
      </c>
      <c r="L322" s="103" t="str">
        <f t="shared" ref="L322:L324" si="34">IF(I322=1,"-",IF(AND(I322="",L321="-"),"-",ROUNDUP((J322*0.2)+J322,3)))</f>
        <v>-</v>
      </c>
      <c r="M322" s="73"/>
      <c r="N322" s="74"/>
      <c r="O322"/>
      <c r="P322"/>
      <c r="Q322"/>
      <c r="R322"/>
      <c r="S322"/>
      <c r="T322"/>
      <c r="U322"/>
      <c r="V322"/>
      <c r="W322"/>
      <c r="X322"/>
      <c r="Y322"/>
      <c r="Z322"/>
      <c r="AA322"/>
      <c r="AB322"/>
      <c r="AC322"/>
      <c r="AD322"/>
      <c r="AE322"/>
      <c r="AF322"/>
      <c r="AG322"/>
      <c r="AH322"/>
      <c r="AI322"/>
      <c r="AJ322"/>
      <c r="AK322"/>
      <c r="AL322"/>
      <c r="AM322"/>
      <c r="AN322"/>
      <c r="AO322"/>
      <c r="AP322"/>
      <c r="AQ322"/>
      <c r="AR322"/>
      <c r="AS322"/>
    </row>
    <row r="323" spans="1:45" s="51" customFormat="1" ht="21.75" customHeight="1">
      <c r="A323" s="315"/>
      <c r="B323" s="316"/>
      <c r="C323" s="317"/>
      <c r="D323" s="257"/>
      <c r="E323" s="213" t="s">
        <v>107</v>
      </c>
      <c r="F323" s="112" t="s">
        <v>79</v>
      </c>
      <c r="G323" s="214" t="s">
        <v>40</v>
      </c>
      <c r="H323" s="257"/>
      <c r="I323" s="257"/>
      <c r="J323" s="102">
        <f>ROUNDUP('Tarifa 2026'!J324*(1+Instructions!$AA$9),3)</f>
        <v>13</v>
      </c>
      <c r="K323" s="103">
        <f t="shared" si="30"/>
        <v>13.65</v>
      </c>
      <c r="L323" s="103" t="str">
        <f t="shared" si="34"/>
        <v>-</v>
      </c>
      <c r="M323" s="73"/>
      <c r="N323" s="74"/>
      <c r="O323"/>
      <c r="P323"/>
      <c r="Q323"/>
      <c r="R323"/>
    </row>
    <row r="324" spans="1:45" ht="21.75" customHeight="1">
      <c r="A324" s="315"/>
      <c r="B324" s="316"/>
      <c r="C324" s="317"/>
      <c r="D324" s="257"/>
      <c r="E324" s="213" t="s">
        <v>107</v>
      </c>
      <c r="F324" s="112" t="s">
        <v>86</v>
      </c>
      <c r="G324" s="214" t="s">
        <v>40</v>
      </c>
      <c r="H324" s="257"/>
      <c r="I324" s="257"/>
      <c r="J324" s="102">
        <f>ROUNDUP('Tarifa 2026'!J325*(1+Instructions!$AA$9),3)</f>
        <v>14</v>
      </c>
      <c r="K324" s="103">
        <f t="shared" si="30"/>
        <v>14.7</v>
      </c>
      <c r="L324" s="103" t="str">
        <f t="shared" si="34"/>
        <v>-</v>
      </c>
      <c r="M324" s="73"/>
      <c r="N324" s="74"/>
    </row>
    <row r="325" spans="1:45" ht="26.1" customHeight="1">
      <c r="A325" s="156">
        <v>197</v>
      </c>
      <c r="B325" s="157" t="s">
        <v>53</v>
      </c>
      <c r="C325" s="158">
        <v>6629</v>
      </c>
      <c r="D325" s="159" t="s">
        <v>297</v>
      </c>
      <c r="E325" s="159" t="s">
        <v>39</v>
      </c>
      <c r="F325" s="159" t="s">
        <v>62</v>
      </c>
      <c r="G325" s="159" t="s">
        <v>44</v>
      </c>
      <c r="H325" s="159">
        <v>50</v>
      </c>
      <c r="I325" s="160">
        <v>1</v>
      </c>
      <c r="J325" s="165">
        <f>ROUNDUP('Tarifa 2026'!J326*(1+Instructions!$AA$9),3)</f>
        <v>11.9</v>
      </c>
      <c r="K325" s="166">
        <f t="shared" si="30"/>
        <v>12.494999999999999</v>
      </c>
      <c r="L325" s="166" t="str">
        <f t="shared" si="31"/>
        <v>-</v>
      </c>
      <c r="M325" s="73"/>
      <c r="N325" s="74"/>
    </row>
    <row r="326" spans="1:45" ht="26.1" customHeight="1">
      <c r="A326" s="223">
        <v>199</v>
      </c>
      <c r="B326" s="318" t="s">
        <v>53</v>
      </c>
      <c r="C326" s="240" t="s">
        <v>36</v>
      </c>
      <c r="D326" s="220" t="s">
        <v>54</v>
      </c>
      <c r="E326" s="61" t="s">
        <v>107</v>
      </c>
      <c r="F326" s="61" t="s">
        <v>62</v>
      </c>
      <c r="G326" s="61" t="s">
        <v>84</v>
      </c>
      <c r="H326" s="220">
        <v>50</v>
      </c>
      <c r="I326" s="225">
        <v>1</v>
      </c>
      <c r="J326" s="102">
        <f>ROUNDUP('Tarifa 2026'!J327*(1+Instructions!$AA$9),3)</f>
        <v>5.9</v>
      </c>
      <c r="K326" s="103">
        <f t="shared" si="30"/>
        <v>6.1950000000000003</v>
      </c>
      <c r="L326" s="103" t="str">
        <f t="shared" si="31"/>
        <v>-</v>
      </c>
      <c r="M326" s="73"/>
      <c r="N326" s="74"/>
    </row>
    <row r="327" spans="1:45" ht="26.1" customHeight="1">
      <c r="A327" s="223"/>
      <c r="B327" s="318"/>
      <c r="C327" s="240"/>
      <c r="D327" s="220"/>
      <c r="E327" s="61" t="s">
        <v>107</v>
      </c>
      <c r="F327" s="61" t="s">
        <v>78</v>
      </c>
      <c r="G327" s="61" t="s">
        <v>84</v>
      </c>
      <c r="H327" s="220"/>
      <c r="I327" s="225"/>
      <c r="J327" s="102">
        <f>ROUNDUP('Tarifa 2026'!J328*(1+Instructions!$AA$9),3)</f>
        <v>6.82</v>
      </c>
      <c r="K327" s="103">
        <f t="shared" si="30"/>
        <v>7.1609999999999996</v>
      </c>
      <c r="L327" s="103" t="str">
        <f t="shared" si="31"/>
        <v>-</v>
      </c>
      <c r="M327" s="73"/>
      <c r="N327" s="74"/>
    </row>
    <row r="328" spans="1:45" s="6" customFormat="1" ht="26.1" customHeight="1">
      <c r="A328" s="156">
        <v>199</v>
      </c>
      <c r="B328" s="157" t="s">
        <v>53</v>
      </c>
      <c r="C328" s="158" t="s">
        <v>95</v>
      </c>
      <c r="D328" s="159" t="s">
        <v>96</v>
      </c>
      <c r="E328" s="159" t="s">
        <v>41</v>
      </c>
      <c r="F328" s="159" t="s">
        <v>62</v>
      </c>
      <c r="G328" s="159" t="s">
        <v>84</v>
      </c>
      <c r="H328" s="159">
        <v>50</v>
      </c>
      <c r="I328" s="160">
        <v>1</v>
      </c>
      <c r="J328" s="165">
        <f>ROUNDUP('Tarifa 2026'!J329*(1+Instructions!$AA$9),3)</f>
        <v>5.9</v>
      </c>
      <c r="K328" s="166">
        <f t="shared" si="30"/>
        <v>6.1950000000000003</v>
      </c>
      <c r="L328" s="166" t="str">
        <f t="shared" si="31"/>
        <v>-</v>
      </c>
      <c r="M328" s="73"/>
      <c r="N328" s="74"/>
      <c r="O328"/>
      <c r="P328"/>
      <c r="Q328"/>
      <c r="R328"/>
    </row>
    <row r="329" spans="1:45" s="6" customFormat="1" ht="26.1" customHeight="1">
      <c r="A329" s="223">
        <v>199</v>
      </c>
      <c r="B329" s="318" t="s">
        <v>53</v>
      </c>
      <c r="C329" s="240" t="s">
        <v>28</v>
      </c>
      <c r="D329" s="220" t="s">
        <v>74</v>
      </c>
      <c r="E329" s="61" t="s">
        <v>107</v>
      </c>
      <c r="F329" s="61" t="s">
        <v>62</v>
      </c>
      <c r="G329" s="61" t="s">
        <v>40</v>
      </c>
      <c r="H329" s="220">
        <v>50</v>
      </c>
      <c r="I329" s="225">
        <v>1</v>
      </c>
      <c r="J329" s="102">
        <f>ROUNDUP('Tarifa 2026'!J330*(1+Instructions!$AA$9),3)</f>
        <v>7.4</v>
      </c>
      <c r="K329" s="103">
        <f t="shared" si="30"/>
        <v>7.77</v>
      </c>
      <c r="L329" s="103" t="str">
        <f t="shared" si="31"/>
        <v>-</v>
      </c>
      <c r="M329" s="73"/>
      <c r="N329" s="74"/>
      <c r="O329"/>
      <c r="P329"/>
      <c r="Q329"/>
      <c r="R329"/>
      <c r="S329"/>
      <c r="T329"/>
      <c r="U329"/>
      <c r="V329"/>
      <c r="W329"/>
      <c r="X329"/>
      <c r="Y329"/>
      <c r="Z329"/>
      <c r="AA329"/>
      <c r="AB329"/>
      <c r="AC329"/>
      <c r="AD329"/>
      <c r="AE329"/>
      <c r="AF329"/>
      <c r="AG329"/>
      <c r="AH329"/>
      <c r="AI329"/>
      <c r="AJ329"/>
      <c r="AK329"/>
      <c r="AL329"/>
      <c r="AM329"/>
      <c r="AN329"/>
      <c r="AO329"/>
      <c r="AP329"/>
      <c r="AQ329"/>
      <c r="AR329"/>
      <c r="AS329"/>
    </row>
    <row r="330" spans="1:45" s="6" customFormat="1" ht="26.1" customHeight="1">
      <c r="A330" s="223"/>
      <c r="B330" s="318"/>
      <c r="C330" s="240"/>
      <c r="D330" s="220"/>
      <c r="E330" s="61" t="s">
        <v>107</v>
      </c>
      <c r="F330" s="61" t="s">
        <v>78</v>
      </c>
      <c r="G330" s="61" t="s">
        <v>40</v>
      </c>
      <c r="H330" s="220"/>
      <c r="I330" s="225"/>
      <c r="J330" s="102">
        <f>ROUNDUP('Tarifa 2026'!J331*(1+Instructions!$AA$9),3)</f>
        <v>7.98</v>
      </c>
      <c r="K330" s="103">
        <f t="shared" si="30"/>
        <v>8.3789999999999996</v>
      </c>
      <c r="L330" s="103" t="str">
        <f t="shared" si="31"/>
        <v>-</v>
      </c>
      <c r="M330" s="73"/>
      <c r="N330" s="74"/>
      <c r="O330"/>
      <c r="P330"/>
      <c r="Q330"/>
      <c r="R330"/>
      <c r="S330"/>
      <c r="T330"/>
      <c r="U330"/>
      <c r="V330"/>
      <c r="W330"/>
      <c r="X330"/>
      <c r="Y330"/>
      <c r="Z330"/>
      <c r="AA330"/>
      <c r="AB330"/>
      <c r="AC330"/>
      <c r="AD330"/>
      <c r="AE330"/>
      <c r="AF330"/>
      <c r="AG330"/>
      <c r="AH330"/>
      <c r="AI330"/>
      <c r="AJ330"/>
      <c r="AK330"/>
      <c r="AL330"/>
      <c r="AM330"/>
      <c r="AN330"/>
      <c r="AO330"/>
      <c r="AP330"/>
      <c r="AQ330"/>
      <c r="AR330"/>
      <c r="AS330"/>
    </row>
    <row r="331" spans="1:45" s="6" customFormat="1" ht="26.1" customHeight="1">
      <c r="A331" s="310">
        <v>200</v>
      </c>
      <c r="B331" s="319" t="s">
        <v>53</v>
      </c>
      <c r="C331" s="312" t="s">
        <v>132</v>
      </c>
      <c r="D331" s="313" t="s">
        <v>133</v>
      </c>
      <c r="E331" s="185" t="s">
        <v>39</v>
      </c>
      <c r="F331" s="185" t="s">
        <v>295</v>
      </c>
      <c r="G331" s="185" t="s">
        <v>84</v>
      </c>
      <c r="H331" s="313">
        <v>50</v>
      </c>
      <c r="I331" s="314">
        <v>1</v>
      </c>
      <c r="J331" s="168">
        <f>ROUNDUP('Tarifa 2026'!J332*(1+Instructions!$AA$9),3)</f>
        <v>9</v>
      </c>
      <c r="K331" s="187">
        <f t="shared" si="30"/>
        <v>9.4499999999999993</v>
      </c>
      <c r="L331" s="187" t="str">
        <f t="shared" si="31"/>
        <v>-</v>
      </c>
      <c r="M331" s="73"/>
      <c r="N331" s="74"/>
      <c r="O331"/>
      <c r="P331"/>
      <c r="Q331"/>
      <c r="R331"/>
      <c r="S331"/>
      <c r="T331"/>
      <c r="U331"/>
      <c r="V331"/>
      <c r="W331"/>
      <c r="X331"/>
      <c r="Y331"/>
      <c r="Z331"/>
      <c r="AA331"/>
      <c r="AB331"/>
      <c r="AC331"/>
      <c r="AD331"/>
      <c r="AE331"/>
      <c r="AF331"/>
      <c r="AG331"/>
      <c r="AH331"/>
      <c r="AI331"/>
      <c r="AJ331"/>
      <c r="AK331"/>
      <c r="AL331"/>
      <c r="AM331"/>
      <c r="AN331"/>
      <c r="AO331"/>
      <c r="AP331"/>
      <c r="AQ331"/>
      <c r="AR331"/>
      <c r="AS331"/>
    </row>
    <row r="332" spans="1:45" s="6" customFormat="1" ht="26.1" customHeight="1">
      <c r="A332" s="310"/>
      <c r="B332" s="319"/>
      <c r="C332" s="312"/>
      <c r="D332" s="313"/>
      <c r="E332" s="185" t="s">
        <v>39</v>
      </c>
      <c r="F332" s="185" t="s">
        <v>78</v>
      </c>
      <c r="G332" s="185" t="s">
        <v>84</v>
      </c>
      <c r="H332" s="313"/>
      <c r="I332" s="314"/>
      <c r="J332" s="168">
        <f>ROUNDUP('Tarifa 2026'!J333*(1+Instructions!$AA$9),3)</f>
        <v>9.5</v>
      </c>
      <c r="K332" s="187">
        <f t="shared" si="30"/>
        <v>9.9749999999999996</v>
      </c>
      <c r="L332" s="187" t="str">
        <f t="shared" si="31"/>
        <v>-</v>
      </c>
      <c r="M332" s="73"/>
      <c r="N332" s="74"/>
      <c r="O332"/>
      <c r="P332"/>
      <c r="Q332"/>
      <c r="R332"/>
      <c r="S332"/>
      <c r="T332"/>
      <c r="U332"/>
      <c r="V332"/>
      <c r="W332"/>
      <c r="X332"/>
      <c r="Y332"/>
      <c r="Z332"/>
      <c r="AA332"/>
      <c r="AB332"/>
      <c r="AC332"/>
      <c r="AD332"/>
      <c r="AE332"/>
      <c r="AF332"/>
      <c r="AG332"/>
      <c r="AH332"/>
      <c r="AI332"/>
      <c r="AJ332"/>
      <c r="AK332"/>
      <c r="AL332"/>
      <c r="AM332"/>
      <c r="AN332"/>
      <c r="AO332"/>
      <c r="AP332"/>
      <c r="AQ332"/>
      <c r="AR332"/>
      <c r="AS332"/>
    </row>
    <row r="333" spans="1:45" s="6" customFormat="1" ht="26.1" customHeight="1">
      <c r="A333" s="63">
        <v>200</v>
      </c>
      <c r="B333" s="59" t="s">
        <v>53</v>
      </c>
      <c r="C333" s="60" t="s">
        <v>134</v>
      </c>
      <c r="D333" s="61" t="s">
        <v>135</v>
      </c>
      <c r="E333" s="61" t="s">
        <v>41</v>
      </c>
      <c r="F333" s="61" t="s">
        <v>62</v>
      </c>
      <c r="G333" s="61" t="s">
        <v>84</v>
      </c>
      <c r="H333" s="61">
        <v>50</v>
      </c>
      <c r="I333" s="83">
        <v>1</v>
      </c>
      <c r="J333" s="102">
        <f>ROUNDUP('Tarifa 2026'!J334*(1+Instructions!$AA$9),3)</f>
        <v>9</v>
      </c>
      <c r="K333" s="103">
        <f t="shared" si="30"/>
        <v>9.4499999999999993</v>
      </c>
      <c r="L333" s="103" t="str">
        <f t="shared" si="31"/>
        <v>-</v>
      </c>
      <c r="M333" s="73"/>
      <c r="N333" s="74"/>
      <c r="O333"/>
      <c r="P333"/>
      <c r="Q333"/>
      <c r="R333"/>
    </row>
    <row r="334" spans="1:45" s="6" customFormat="1" ht="26.1" customHeight="1">
      <c r="A334" s="226">
        <v>200</v>
      </c>
      <c r="B334" s="327" t="s">
        <v>53</v>
      </c>
      <c r="C334" s="309" t="s">
        <v>173</v>
      </c>
      <c r="D334" s="229" t="s">
        <v>174</v>
      </c>
      <c r="E334" s="159" t="s">
        <v>39</v>
      </c>
      <c r="F334" s="159" t="s">
        <v>62</v>
      </c>
      <c r="G334" s="159" t="s">
        <v>84</v>
      </c>
      <c r="H334" s="229">
        <v>50</v>
      </c>
      <c r="I334" s="323">
        <v>1</v>
      </c>
      <c r="J334" s="165">
        <f>ROUNDUP('Tarifa 2026'!J335*(1+Instructions!$AA$9),3)</f>
        <v>7.5</v>
      </c>
      <c r="K334" s="166">
        <f t="shared" si="30"/>
        <v>7.875</v>
      </c>
      <c r="L334" s="166" t="str">
        <f t="shared" si="31"/>
        <v>-</v>
      </c>
      <c r="M334" s="73"/>
      <c r="N334" s="74"/>
      <c r="O334"/>
      <c r="P334"/>
      <c r="Q334"/>
      <c r="R334"/>
    </row>
    <row r="335" spans="1:45" s="6" customFormat="1" ht="26.1" customHeight="1">
      <c r="A335" s="226"/>
      <c r="B335" s="327"/>
      <c r="C335" s="309"/>
      <c r="D335" s="229"/>
      <c r="E335" s="159" t="s">
        <v>39</v>
      </c>
      <c r="F335" s="159" t="s">
        <v>78</v>
      </c>
      <c r="G335" s="159" t="s">
        <v>84</v>
      </c>
      <c r="H335" s="229"/>
      <c r="I335" s="323"/>
      <c r="J335" s="165">
        <f>ROUNDUP('Tarifa 2026'!J336*(1+Instructions!$AA$9),3)</f>
        <v>7.9</v>
      </c>
      <c r="K335" s="166">
        <f t="shared" si="30"/>
        <v>8.2949999999999999</v>
      </c>
      <c r="L335" s="166" t="str">
        <f t="shared" si="31"/>
        <v>-</v>
      </c>
      <c r="M335" s="73"/>
      <c r="N335" s="74"/>
      <c r="O335"/>
      <c r="P335"/>
      <c r="Q335"/>
      <c r="R335"/>
    </row>
    <row r="336" spans="1:45" s="6" customFormat="1" ht="26.1" customHeight="1">
      <c r="A336" s="63">
        <v>200</v>
      </c>
      <c r="B336" s="59" t="s">
        <v>53</v>
      </c>
      <c r="C336" s="60" t="s">
        <v>175</v>
      </c>
      <c r="D336" s="61" t="s">
        <v>176</v>
      </c>
      <c r="E336" s="61" t="s">
        <v>41</v>
      </c>
      <c r="F336" s="61" t="s">
        <v>32</v>
      </c>
      <c r="G336" s="61" t="s">
        <v>84</v>
      </c>
      <c r="H336" s="61">
        <v>50</v>
      </c>
      <c r="I336" s="190">
        <v>1</v>
      </c>
      <c r="J336" s="102">
        <f>ROUNDUP('Tarifa 2026'!J337*(1+Instructions!$AA$9),3)</f>
        <v>7.5</v>
      </c>
      <c r="K336" s="103">
        <f t="shared" si="30"/>
        <v>7.875</v>
      </c>
      <c r="L336" s="103" t="str">
        <f t="shared" si="31"/>
        <v>-</v>
      </c>
      <c r="M336" s="73"/>
      <c r="N336" s="74"/>
      <c r="O336"/>
      <c r="P336"/>
      <c r="Q336"/>
      <c r="R336"/>
    </row>
    <row r="337" spans="1:45" s="6" customFormat="1" ht="26.1" customHeight="1">
      <c r="A337" s="310">
        <v>202</v>
      </c>
      <c r="B337" s="324" t="s">
        <v>53</v>
      </c>
      <c r="C337" s="325">
        <v>1217</v>
      </c>
      <c r="D337" s="313" t="s">
        <v>29</v>
      </c>
      <c r="E337" s="185" t="s">
        <v>39</v>
      </c>
      <c r="F337" s="185" t="s">
        <v>62</v>
      </c>
      <c r="G337" s="185" t="s">
        <v>44</v>
      </c>
      <c r="H337" s="313">
        <v>50</v>
      </c>
      <c r="I337" s="326">
        <v>1</v>
      </c>
      <c r="J337" s="168">
        <f>ROUNDUP('Tarifa 2026'!J338*(1+Instructions!$AA$9),3)</f>
        <v>5.5</v>
      </c>
      <c r="K337" s="187">
        <f t="shared" si="30"/>
        <v>5.7750000000000004</v>
      </c>
      <c r="L337" s="187" t="str">
        <f t="shared" si="31"/>
        <v>-</v>
      </c>
      <c r="M337" s="73"/>
      <c r="N337" s="74"/>
      <c r="O337"/>
      <c r="P337"/>
      <c r="Q337"/>
      <c r="R337"/>
    </row>
    <row r="338" spans="1:45" s="6" customFormat="1" ht="26.1" customHeight="1">
      <c r="A338" s="310"/>
      <c r="B338" s="324"/>
      <c r="C338" s="325"/>
      <c r="D338" s="313"/>
      <c r="E338" s="185" t="s">
        <v>39</v>
      </c>
      <c r="F338" s="185" t="s">
        <v>78</v>
      </c>
      <c r="G338" s="185" t="s">
        <v>44</v>
      </c>
      <c r="H338" s="313"/>
      <c r="I338" s="326"/>
      <c r="J338" s="168">
        <f>ROUNDUP('Tarifa 2026'!J339*(1+Instructions!$AA$9),3)</f>
        <v>6.3</v>
      </c>
      <c r="K338" s="187">
        <f t="shared" si="30"/>
        <v>6.6150000000000002</v>
      </c>
      <c r="L338" s="187" t="str">
        <f t="shared" si="31"/>
        <v>-</v>
      </c>
      <c r="M338" s="73"/>
      <c r="N338" s="74"/>
      <c r="O338"/>
      <c r="P338"/>
      <c r="Q338"/>
      <c r="R338"/>
    </row>
    <row r="339" spans="1:45" ht="26.1" customHeight="1">
      <c r="A339" s="310"/>
      <c r="B339" s="324"/>
      <c r="C339" s="325"/>
      <c r="D339" s="313"/>
      <c r="E339" s="185" t="s">
        <v>39</v>
      </c>
      <c r="F339" s="185" t="s">
        <v>79</v>
      </c>
      <c r="G339" s="185" t="s">
        <v>44</v>
      </c>
      <c r="H339" s="313"/>
      <c r="I339" s="326"/>
      <c r="J339" s="168">
        <f>ROUNDUP('Tarifa 2026'!J340*(1+Instructions!$AA$9),3)</f>
        <v>6.9</v>
      </c>
      <c r="K339" s="187">
        <f t="shared" si="30"/>
        <v>7.2450000000000001</v>
      </c>
      <c r="L339" s="187" t="str">
        <f t="shared" si="31"/>
        <v>-</v>
      </c>
      <c r="M339" s="73"/>
      <c r="N339" s="74"/>
    </row>
    <row r="340" spans="1:45" ht="26.1" customHeight="1">
      <c r="A340" s="310"/>
      <c r="B340" s="324"/>
      <c r="C340" s="325"/>
      <c r="D340" s="313"/>
      <c r="E340" s="185" t="s">
        <v>39</v>
      </c>
      <c r="F340" s="185" t="s">
        <v>62</v>
      </c>
      <c r="G340" s="185" t="s">
        <v>40</v>
      </c>
      <c r="H340" s="313"/>
      <c r="I340" s="326"/>
      <c r="J340" s="168">
        <f>ROUNDUP('Tarifa 2026'!J341*(1+Instructions!$AA$9),3)</f>
        <v>6.2</v>
      </c>
      <c r="K340" s="187">
        <f t="shared" si="30"/>
        <v>6.51</v>
      </c>
      <c r="L340" s="187" t="str">
        <f t="shared" si="31"/>
        <v>-</v>
      </c>
      <c r="M340" s="73"/>
      <c r="N340" s="74"/>
    </row>
    <row r="341" spans="1:45" s="6" customFormat="1" ht="26.1" customHeight="1">
      <c r="A341" s="310"/>
      <c r="B341" s="324"/>
      <c r="C341" s="325"/>
      <c r="D341" s="313"/>
      <c r="E341" s="185" t="s">
        <v>39</v>
      </c>
      <c r="F341" s="185" t="s">
        <v>78</v>
      </c>
      <c r="G341" s="185" t="s">
        <v>40</v>
      </c>
      <c r="H341" s="313"/>
      <c r="I341" s="326"/>
      <c r="J341" s="168">
        <f>ROUNDUP('Tarifa 2026'!J342*(1+Instructions!$AA$9),3)</f>
        <v>6.6</v>
      </c>
      <c r="K341" s="187">
        <f t="shared" si="30"/>
        <v>6.93</v>
      </c>
      <c r="L341" s="187" t="str">
        <f t="shared" si="31"/>
        <v>-</v>
      </c>
      <c r="M341" s="73"/>
      <c r="N341" s="74"/>
      <c r="O341"/>
      <c r="P341"/>
      <c r="Q341"/>
      <c r="R341"/>
    </row>
    <row r="342" spans="1:45" s="6" customFormat="1" ht="26.1" customHeight="1">
      <c r="A342" s="310"/>
      <c r="B342" s="324"/>
      <c r="C342" s="325"/>
      <c r="D342" s="313"/>
      <c r="E342" s="185" t="s">
        <v>39</v>
      </c>
      <c r="F342" s="185" t="s">
        <v>79</v>
      </c>
      <c r="G342" s="185" t="s">
        <v>40</v>
      </c>
      <c r="H342" s="185"/>
      <c r="I342" s="191"/>
      <c r="J342" s="168">
        <f>ROUNDUP('Tarifa 2026'!J343*(1+Instructions!$AA$9),3)</f>
        <v>8.1</v>
      </c>
      <c r="K342" s="187">
        <f t="shared" si="30"/>
        <v>8.5050000000000008</v>
      </c>
      <c r="L342" s="187" t="str">
        <f t="shared" si="31"/>
        <v>-</v>
      </c>
      <c r="M342" s="73"/>
      <c r="N342" s="74"/>
      <c r="O342"/>
      <c r="P342"/>
      <c r="Q342"/>
      <c r="R342"/>
    </row>
    <row r="343" spans="1:45" s="6" customFormat="1" ht="26.1" customHeight="1">
      <c r="A343" s="223">
        <v>202</v>
      </c>
      <c r="B343" s="222" t="s">
        <v>53</v>
      </c>
      <c r="C343" s="221">
        <v>1218</v>
      </c>
      <c r="D343" s="220" t="s">
        <v>47</v>
      </c>
      <c r="E343" s="61" t="s">
        <v>41</v>
      </c>
      <c r="F343" s="61" t="s">
        <v>62</v>
      </c>
      <c r="G343" s="61" t="s">
        <v>44</v>
      </c>
      <c r="H343" s="220">
        <v>50</v>
      </c>
      <c r="I343" s="290">
        <v>1</v>
      </c>
      <c r="J343" s="102">
        <f>ROUNDUP('Tarifa 2026'!J344*(1+Instructions!$AA$9),3)</f>
        <v>5.5</v>
      </c>
      <c r="K343" s="103">
        <f t="shared" si="30"/>
        <v>5.7750000000000004</v>
      </c>
      <c r="L343" s="103" t="str">
        <f t="shared" si="31"/>
        <v>-</v>
      </c>
      <c r="M343" s="73"/>
      <c r="N343" s="74"/>
      <c r="O343"/>
      <c r="P343"/>
      <c r="Q343"/>
      <c r="R343"/>
    </row>
    <row r="344" spans="1:45" s="6" customFormat="1" ht="26.1" customHeight="1">
      <c r="A344" s="223"/>
      <c r="B344" s="222"/>
      <c r="C344" s="221"/>
      <c r="D344" s="220"/>
      <c r="E344" s="61" t="s">
        <v>41</v>
      </c>
      <c r="F344" s="61" t="s">
        <v>78</v>
      </c>
      <c r="G344" s="61" t="s">
        <v>44</v>
      </c>
      <c r="H344" s="220"/>
      <c r="I344" s="290"/>
      <c r="J344" s="102">
        <f>ROUNDUP('Tarifa 2026'!J345*(1+Instructions!$AA$9),3)</f>
        <v>6.3</v>
      </c>
      <c r="K344" s="103">
        <f t="shared" si="30"/>
        <v>6.6150000000000002</v>
      </c>
      <c r="L344" s="103" t="str">
        <f t="shared" si="31"/>
        <v>-</v>
      </c>
      <c r="M344" s="73"/>
      <c r="N344" s="74"/>
      <c r="O344"/>
      <c r="P344"/>
      <c r="Q344"/>
      <c r="R344"/>
    </row>
    <row r="345" spans="1:45" s="6" customFormat="1" ht="26.1" customHeight="1">
      <c r="A345" s="223"/>
      <c r="B345" s="222"/>
      <c r="C345" s="221"/>
      <c r="D345" s="220"/>
      <c r="E345" s="61" t="s">
        <v>41</v>
      </c>
      <c r="F345" s="61" t="s">
        <v>62</v>
      </c>
      <c r="G345" s="61" t="s">
        <v>40</v>
      </c>
      <c r="H345" s="220"/>
      <c r="I345" s="290"/>
      <c r="J345" s="102">
        <f>ROUNDUP('Tarifa 2026'!J346*(1+Instructions!$AA$9),3)</f>
        <v>6.2</v>
      </c>
      <c r="K345" s="103">
        <f t="shared" ref="K345:K411" si="35">IF(I345=1,(ROUNDUP((J345*0.05+J345),3)),ROUNDUP((J345*0.05+J345),3))</f>
        <v>6.51</v>
      </c>
      <c r="L345" s="103" t="str">
        <f t="shared" ref="L345:L411" si="36">IF(I345=1,"-",IF(AND(I345="",L343="-"),"-",ROUNDUP((J345*0.2)+J345,3)))</f>
        <v>-</v>
      </c>
      <c r="M345" s="73"/>
      <c r="N345" s="74"/>
      <c r="O345"/>
      <c r="P345"/>
      <c r="Q345"/>
      <c r="R345"/>
    </row>
    <row r="346" spans="1:45" s="6" customFormat="1" ht="26.1" customHeight="1">
      <c r="A346" s="223"/>
      <c r="B346" s="222"/>
      <c r="C346" s="221"/>
      <c r="D346" s="220"/>
      <c r="E346" s="61" t="s">
        <v>41</v>
      </c>
      <c r="F346" s="61" t="s">
        <v>78</v>
      </c>
      <c r="G346" s="61" t="s">
        <v>40</v>
      </c>
      <c r="H346" s="220"/>
      <c r="I346" s="290"/>
      <c r="J346" s="102">
        <f>ROUNDUP('Tarifa 2026'!J347*(1+Instructions!$AA$9),3)</f>
        <v>6.6</v>
      </c>
      <c r="K346" s="103">
        <f t="shared" si="35"/>
        <v>6.93</v>
      </c>
      <c r="L346" s="103" t="str">
        <f t="shared" si="36"/>
        <v>-</v>
      </c>
      <c r="M346" s="73"/>
      <c r="N346" s="74"/>
      <c r="O346"/>
      <c r="P346"/>
      <c r="Q346"/>
      <c r="R346"/>
    </row>
    <row r="347" spans="1:45" s="6" customFormat="1" ht="26.1" customHeight="1">
      <c r="A347" s="310">
        <v>202</v>
      </c>
      <c r="B347" s="324" t="s">
        <v>53</v>
      </c>
      <c r="C347" s="325">
        <v>1204</v>
      </c>
      <c r="D347" s="313" t="s">
        <v>77</v>
      </c>
      <c r="E347" s="185" t="s">
        <v>39</v>
      </c>
      <c r="F347" s="185" t="s">
        <v>80</v>
      </c>
      <c r="G347" s="185" t="s">
        <v>44</v>
      </c>
      <c r="H347" s="313">
        <v>50</v>
      </c>
      <c r="I347" s="326">
        <v>1</v>
      </c>
      <c r="J347" s="168">
        <f>ROUNDUP('Tarifa 2026'!J348*(1+Instructions!$AA$9),3)</f>
        <v>5.5</v>
      </c>
      <c r="K347" s="187">
        <f t="shared" si="35"/>
        <v>5.7750000000000004</v>
      </c>
      <c r="L347" s="187" t="str">
        <f t="shared" si="36"/>
        <v>-</v>
      </c>
      <c r="M347" s="73"/>
      <c r="N347" s="74"/>
      <c r="O347"/>
      <c r="P347"/>
      <c r="Q347"/>
      <c r="R347"/>
      <c r="S347"/>
      <c r="T347"/>
      <c r="U347"/>
      <c r="V347"/>
      <c r="W347"/>
      <c r="X347"/>
      <c r="Y347"/>
      <c r="Z347"/>
      <c r="AA347"/>
      <c r="AB347"/>
      <c r="AC347"/>
      <c r="AD347"/>
      <c r="AE347"/>
      <c r="AF347"/>
      <c r="AG347"/>
      <c r="AH347"/>
      <c r="AI347"/>
      <c r="AJ347"/>
      <c r="AK347"/>
      <c r="AL347"/>
      <c r="AM347"/>
      <c r="AN347"/>
      <c r="AO347"/>
      <c r="AP347"/>
      <c r="AQ347"/>
      <c r="AR347"/>
      <c r="AS347"/>
    </row>
    <row r="348" spans="1:45" s="6" customFormat="1" ht="26.1" customHeight="1">
      <c r="A348" s="310"/>
      <c r="B348" s="324"/>
      <c r="C348" s="325"/>
      <c r="D348" s="313"/>
      <c r="E348" s="185" t="s">
        <v>39</v>
      </c>
      <c r="F348" s="185" t="s">
        <v>78</v>
      </c>
      <c r="G348" s="185" t="s">
        <v>44</v>
      </c>
      <c r="H348" s="313"/>
      <c r="I348" s="326"/>
      <c r="J348" s="168">
        <f>ROUNDUP('Tarifa 2026'!J349*(1+Instructions!$AA$9),3)</f>
        <v>6.3</v>
      </c>
      <c r="K348" s="187">
        <f t="shared" si="35"/>
        <v>6.6150000000000002</v>
      </c>
      <c r="L348" s="187" t="str">
        <f t="shared" si="36"/>
        <v>-</v>
      </c>
      <c r="M348" s="73"/>
      <c r="N348" s="74"/>
      <c r="O348"/>
      <c r="P348"/>
      <c r="Q348"/>
      <c r="R348"/>
      <c r="S348"/>
      <c r="T348"/>
      <c r="U348"/>
      <c r="V348"/>
      <c r="W348"/>
      <c r="X348"/>
      <c r="Y348"/>
      <c r="Z348"/>
      <c r="AA348"/>
      <c r="AB348"/>
      <c r="AC348"/>
      <c r="AD348"/>
      <c r="AE348"/>
      <c r="AF348"/>
      <c r="AG348"/>
      <c r="AH348"/>
      <c r="AI348"/>
      <c r="AJ348"/>
      <c r="AK348"/>
      <c r="AL348"/>
      <c r="AM348"/>
      <c r="AN348"/>
      <c r="AO348"/>
      <c r="AP348"/>
      <c r="AQ348"/>
      <c r="AR348"/>
      <c r="AS348"/>
    </row>
    <row r="349" spans="1:45" ht="26.1" customHeight="1">
      <c r="A349" s="310"/>
      <c r="B349" s="324"/>
      <c r="C349" s="325"/>
      <c r="D349" s="313"/>
      <c r="E349" s="185" t="s">
        <v>39</v>
      </c>
      <c r="F349" s="185" t="s">
        <v>80</v>
      </c>
      <c r="G349" s="185" t="s">
        <v>40</v>
      </c>
      <c r="H349" s="313"/>
      <c r="I349" s="326"/>
      <c r="J349" s="168">
        <f>ROUNDUP('Tarifa 2026'!J350*(1+Instructions!$AA$9),3)</f>
        <v>6.2</v>
      </c>
      <c r="K349" s="187">
        <f t="shared" si="35"/>
        <v>6.51</v>
      </c>
      <c r="L349" s="187" t="str">
        <f t="shared" si="36"/>
        <v>-</v>
      </c>
      <c r="M349" s="73"/>
      <c r="N349" s="74"/>
    </row>
    <row r="350" spans="1:45" s="6" customFormat="1" ht="26.1" customHeight="1">
      <c r="A350" s="310"/>
      <c r="B350" s="324"/>
      <c r="C350" s="325"/>
      <c r="D350" s="313"/>
      <c r="E350" s="185" t="s">
        <v>39</v>
      </c>
      <c r="F350" s="185" t="s">
        <v>78</v>
      </c>
      <c r="G350" s="185" t="s">
        <v>40</v>
      </c>
      <c r="H350" s="313"/>
      <c r="I350" s="326"/>
      <c r="J350" s="168">
        <f>ROUNDUP('Tarifa 2026'!J351*(1+Instructions!$AA$9),3)</f>
        <v>6.6</v>
      </c>
      <c r="K350" s="187">
        <f t="shared" si="35"/>
        <v>6.93</v>
      </c>
      <c r="L350" s="187" t="str">
        <f t="shared" si="36"/>
        <v>-</v>
      </c>
      <c r="M350" s="73"/>
      <c r="N350" s="74"/>
      <c r="O350"/>
      <c r="P350"/>
      <c r="Q350"/>
      <c r="R350"/>
      <c r="S350"/>
      <c r="T350"/>
      <c r="U350"/>
      <c r="V350"/>
      <c r="W350"/>
      <c r="X350"/>
      <c r="Y350"/>
      <c r="Z350"/>
      <c r="AA350"/>
      <c r="AB350"/>
      <c r="AC350"/>
      <c r="AD350"/>
      <c r="AE350"/>
      <c r="AF350"/>
      <c r="AG350"/>
      <c r="AH350"/>
      <c r="AI350"/>
      <c r="AJ350"/>
      <c r="AK350"/>
      <c r="AL350"/>
      <c r="AM350"/>
      <c r="AN350"/>
      <c r="AO350"/>
      <c r="AP350"/>
      <c r="AQ350"/>
      <c r="AR350"/>
      <c r="AS350"/>
    </row>
    <row r="351" spans="1:45" s="6" customFormat="1" ht="26.1" customHeight="1">
      <c r="A351" s="310"/>
      <c r="B351" s="324"/>
      <c r="C351" s="325"/>
      <c r="D351" s="313"/>
      <c r="E351" s="185" t="s">
        <v>39</v>
      </c>
      <c r="F351" s="185" t="s">
        <v>79</v>
      </c>
      <c r="G351" s="185" t="s">
        <v>102</v>
      </c>
      <c r="H351" s="313"/>
      <c r="I351" s="326"/>
      <c r="J351" s="168">
        <f>ROUNDUP('Tarifa 2026'!J352*(1+Instructions!$AA$9),3)</f>
        <v>7.7</v>
      </c>
      <c r="K351" s="187">
        <f t="shared" si="35"/>
        <v>8.0850000000000009</v>
      </c>
      <c r="L351" s="187" t="str">
        <f t="shared" si="36"/>
        <v>-</v>
      </c>
      <c r="M351" s="73"/>
      <c r="N351" s="74"/>
      <c r="O351"/>
      <c r="P351"/>
      <c r="Q351"/>
      <c r="R351"/>
      <c r="S351"/>
      <c r="T351"/>
      <c r="U351"/>
      <c r="V351"/>
      <c r="W351"/>
      <c r="X351"/>
      <c r="Y351"/>
      <c r="Z351"/>
      <c r="AA351"/>
      <c r="AB351"/>
      <c r="AC351"/>
      <c r="AD351"/>
      <c r="AE351"/>
      <c r="AF351"/>
      <c r="AG351"/>
      <c r="AH351"/>
      <c r="AI351"/>
      <c r="AJ351"/>
      <c r="AK351"/>
      <c r="AL351"/>
      <c r="AM351"/>
      <c r="AN351"/>
      <c r="AO351"/>
      <c r="AP351"/>
      <c r="AQ351"/>
      <c r="AR351"/>
      <c r="AS351"/>
    </row>
    <row r="352" spans="1:45" s="6" customFormat="1" ht="26.1" customHeight="1">
      <c r="A352" s="223">
        <v>202</v>
      </c>
      <c r="B352" s="222" t="s">
        <v>53</v>
      </c>
      <c r="C352" s="221">
        <v>1219</v>
      </c>
      <c r="D352" s="220" t="s">
        <v>88</v>
      </c>
      <c r="E352" s="61" t="s">
        <v>107</v>
      </c>
      <c r="F352" s="61" t="s">
        <v>62</v>
      </c>
      <c r="G352" s="61" t="s">
        <v>40</v>
      </c>
      <c r="H352" s="220">
        <v>50</v>
      </c>
      <c r="I352" s="225">
        <v>1</v>
      </c>
      <c r="J352" s="102">
        <f>ROUNDUP('Tarifa 2026'!J353*(1+Instructions!$AA$9),3)</f>
        <v>6.8</v>
      </c>
      <c r="K352" s="103">
        <f t="shared" si="35"/>
        <v>7.14</v>
      </c>
      <c r="L352" s="103" t="str">
        <f t="shared" si="36"/>
        <v>-</v>
      </c>
      <c r="M352" s="73"/>
      <c r="N352" s="74"/>
      <c r="O352"/>
      <c r="P352"/>
      <c r="Q352"/>
      <c r="R352"/>
      <c r="S352"/>
      <c r="T352"/>
      <c r="U352"/>
      <c r="V352"/>
      <c r="W352"/>
      <c r="X352"/>
      <c r="Y352"/>
      <c r="Z352"/>
      <c r="AA352"/>
      <c r="AB352"/>
      <c r="AC352"/>
      <c r="AD352"/>
      <c r="AE352"/>
      <c r="AF352"/>
      <c r="AG352"/>
      <c r="AH352"/>
      <c r="AI352"/>
      <c r="AJ352"/>
      <c r="AK352"/>
      <c r="AL352"/>
      <c r="AM352"/>
      <c r="AN352"/>
      <c r="AO352"/>
      <c r="AP352"/>
      <c r="AQ352"/>
      <c r="AR352"/>
      <c r="AS352"/>
    </row>
    <row r="353" spans="1:45" s="6" customFormat="1" ht="26.1" customHeight="1">
      <c r="A353" s="223"/>
      <c r="B353" s="222"/>
      <c r="C353" s="221"/>
      <c r="D353" s="220"/>
      <c r="E353" s="61" t="s">
        <v>107</v>
      </c>
      <c r="F353" s="61" t="s">
        <v>78</v>
      </c>
      <c r="G353" s="61" t="s">
        <v>40</v>
      </c>
      <c r="H353" s="220"/>
      <c r="I353" s="225"/>
      <c r="J353" s="102">
        <f>ROUNDUP('Tarifa 2026'!J354*(1+Instructions!$AA$9),3)</f>
        <v>7.9</v>
      </c>
      <c r="K353" s="103">
        <f t="shared" si="35"/>
        <v>8.2949999999999999</v>
      </c>
      <c r="L353" s="103" t="str">
        <f t="shared" si="36"/>
        <v>-</v>
      </c>
      <c r="M353" s="73"/>
      <c r="N353" s="74"/>
      <c r="O353"/>
      <c r="P353"/>
      <c r="Q353"/>
      <c r="R353"/>
      <c r="S353"/>
      <c r="T353"/>
      <c r="U353"/>
      <c r="V353"/>
      <c r="W353"/>
      <c r="X353"/>
      <c r="Y353"/>
      <c r="Z353"/>
      <c r="AA353"/>
      <c r="AB353"/>
      <c r="AC353"/>
      <c r="AD353"/>
      <c r="AE353"/>
      <c r="AF353"/>
      <c r="AG353"/>
      <c r="AH353"/>
      <c r="AI353"/>
      <c r="AJ353"/>
      <c r="AK353"/>
      <c r="AL353"/>
      <c r="AM353"/>
      <c r="AN353"/>
      <c r="AO353"/>
      <c r="AP353"/>
      <c r="AQ353"/>
      <c r="AR353"/>
      <c r="AS353"/>
    </row>
    <row r="354" spans="1:45" s="6" customFormat="1" ht="26.1" customHeight="1">
      <c r="A354" s="310">
        <v>203</v>
      </c>
      <c r="B354" s="311" t="s">
        <v>53</v>
      </c>
      <c r="C354" s="312" t="s">
        <v>170</v>
      </c>
      <c r="D354" s="313" t="s">
        <v>171</v>
      </c>
      <c r="E354" s="185" t="s">
        <v>107</v>
      </c>
      <c r="F354" s="185" t="s">
        <v>80</v>
      </c>
      <c r="G354" s="185" t="s">
        <v>40</v>
      </c>
      <c r="H354" s="313">
        <v>50</v>
      </c>
      <c r="I354" s="314">
        <v>1</v>
      </c>
      <c r="J354" s="168">
        <f>ROUNDUP('Tarifa 2026'!J355*(1+Instructions!$AA$9),3)</f>
        <v>4.9000000000000004</v>
      </c>
      <c r="K354" s="187">
        <f t="shared" si="35"/>
        <v>5.1449999999999996</v>
      </c>
      <c r="L354" s="187" t="str">
        <f t="shared" si="36"/>
        <v>-</v>
      </c>
      <c r="M354" s="73"/>
      <c r="N354" s="74"/>
      <c r="O354"/>
      <c r="P354"/>
      <c r="Q354"/>
      <c r="R354"/>
    </row>
    <row r="355" spans="1:45" s="6" customFormat="1" ht="26.1" customHeight="1">
      <c r="A355" s="310"/>
      <c r="B355" s="311"/>
      <c r="C355" s="312"/>
      <c r="D355" s="313"/>
      <c r="E355" s="185" t="s">
        <v>107</v>
      </c>
      <c r="F355" s="185" t="s">
        <v>78</v>
      </c>
      <c r="G355" s="185" t="s">
        <v>40</v>
      </c>
      <c r="H355" s="313"/>
      <c r="I355" s="314"/>
      <c r="J355" s="168">
        <f>ROUNDUP('Tarifa 2026'!J356*(1+Instructions!$AA$9),3)</f>
        <v>5.3</v>
      </c>
      <c r="K355" s="187">
        <f t="shared" si="35"/>
        <v>5.5650000000000004</v>
      </c>
      <c r="L355" s="187" t="str">
        <f t="shared" si="36"/>
        <v>-</v>
      </c>
      <c r="M355" s="73"/>
      <c r="N355" s="74"/>
      <c r="O355"/>
      <c r="P355"/>
      <c r="Q355"/>
      <c r="R355"/>
    </row>
    <row r="356" spans="1:45" s="6" customFormat="1" ht="26.1" customHeight="1">
      <c r="A356" s="223">
        <v>204</v>
      </c>
      <c r="B356" s="222" t="s">
        <v>53</v>
      </c>
      <c r="C356" s="221">
        <v>6635</v>
      </c>
      <c r="D356" s="220" t="s">
        <v>298</v>
      </c>
      <c r="E356" s="213" t="s">
        <v>39</v>
      </c>
      <c r="F356" s="112" t="s">
        <v>62</v>
      </c>
      <c r="G356" s="214" t="s">
        <v>44</v>
      </c>
      <c r="H356" s="220">
        <v>25</v>
      </c>
      <c r="I356" s="290">
        <v>1</v>
      </c>
      <c r="J356" s="102">
        <f>ROUNDUP('Tarifa 2026'!J357*(1+Instructions!$AA$9),3)</f>
        <v>11.2</v>
      </c>
      <c r="K356" s="103">
        <f t="shared" si="35"/>
        <v>11.76</v>
      </c>
      <c r="L356" s="103" t="str">
        <f t="shared" si="36"/>
        <v>-</v>
      </c>
      <c r="M356" s="73"/>
      <c r="N356" s="74"/>
      <c r="O356"/>
      <c r="P356"/>
      <c r="Q356"/>
      <c r="R356"/>
    </row>
    <row r="357" spans="1:45" s="6" customFormat="1" ht="26.1" customHeight="1">
      <c r="A357" s="223"/>
      <c r="B357" s="222"/>
      <c r="C357" s="221"/>
      <c r="D357" s="220"/>
      <c r="E357" s="213" t="s">
        <v>39</v>
      </c>
      <c r="F357" s="112" t="s">
        <v>78</v>
      </c>
      <c r="G357" s="214" t="s">
        <v>44</v>
      </c>
      <c r="H357" s="220"/>
      <c r="I357" s="290"/>
      <c r="J357" s="102">
        <f>ROUNDUP('Tarifa 2026'!J358*(1+Instructions!$AA$9),3)</f>
        <v>13.4</v>
      </c>
      <c r="K357" s="103">
        <f t="shared" si="35"/>
        <v>14.07</v>
      </c>
      <c r="L357" s="103" t="str">
        <f t="shared" si="36"/>
        <v>-</v>
      </c>
      <c r="M357" s="73"/>
      <c r="N357" s="74"/>
      <c r="O357"/>
      <c r="P357"/>
      <c r="Q357"/>
      <c r="R357"/>
    </row>
    <row r="358" spans="1:45" s="6" customFormat="1" ht="26.1" customHeight="1">
      <c r="A358" s="223"/>
      <c r="B358" s="222"/>
      <c r="C358" s="221"/>
      <c r="D358" s="220"/>
      <c r="E358" s="213" t="s">
        <v>39</v>
      </c>
      <c r="F358" s="112" t="s">
        <v>79</v>
      </c>
      <c r="G358" s="214" t="s">
        <v>44</v>
      </c>
      <c r="H358" s="220"/>
      <c r="I358" s="290"/>
      <c r="J358" s="102">
        <f>ROUNDUP('Tarifa 2026'!J359*(1+Instructions!$AA$9),3)</f>
        <v>14.1</v>
      </c>
      <c r="K358" s="103">
        <f t="shared" ref="K358:K361" si="37">IF(I358=1,(ROUNDUP((J358*0.05+J358),3)),ROUNDUP((J358*0.05+J358),3))</f>
        <v>14.805</v>
      </c>
      <c r="L358" s="103" t="str">
        <f t="shared" ref="L358:L361" si="38">IF(I358=1,"-",IF(AND(I358="",L356="-"),"-",ROUNDUP((J358*0.2)+J358,3)))</f>
        <v>-</v>
      </c>
      <c r="M358" s="73"/>
      <c r="N358" s="74"/>
      <c r="O358"/>
      <c r="P358"/>
      <c r="Q358"/>
      <c r="R358"/>
    </row>
    <row r="359" spans="1:45" s="6" customFormat="1" ht="26.1" customHeight="1">
      <c r="A359" s="223"/>
      <c r="B359" s="222"/>
      <c r="C359" s="221"/>
      <c r="D359" s="220"/>
      <c r="E359" s="213" t="s">
        <v>39</v>
      </c>
      <c r="F359" s="112" t="s">
        <v>62</v>
      </c>
      <c r="G359" s="214" t="s">
        <v>40</v>
      </c>
      <c r="H359" s="220"/>
      <c r="I359" s="290"/>
      <c r="J359" s="102">
        <f>ROUNDUP('Tarifa 2026'!J360*(1+Instructions!$AA$9),3)</f>
        <v>12.4</v>
      </c>
      <c r="K359" s="103">
        <f t="shared" si="37"/>
        <v>13.02</v>
      </c>
      <c r="L359" s="103" t="str">
        <f t="shared" si="38"/>
        <v>-</v>
      </c>
      <c r="M359" s="73"/>
      <c r="N359" s="74"/>
      <c r="O359"/>
      <c r="P359"/>
      <c r="Q359"/>
      <c r="R359"/>
      <c r="S359"/>
      <c r="T359"/>
      <c r="U359"/>
      <c r="V359"/>
      <c r="W359"/>
      <c r="X359"/>
      <c r="Y359"/>
      <c r="Z359"/>
      <c r="AA359"/>
      <c r="AB359"/>
      <c r="AC359"/>
      <c r="AD359"/>
      <c r="AE359"/>
      <c r="AF359"/>
      <c r="AG359"/>
      <c r="AH359"/>
      <c r="AI359"/>
      <c r="AJ359"/>
      <c r="AK359"/>
      <c r="AL359"/>
      <c r="AM359"/>
      <c r="AN359"/>
      <c r="AO359"/>
      <c r="AP359"/>
      <c r="AQ359"/>
      <c r="AR359"/>
      <c r="AS359"/>
    </row>
    <row r="360" spans="1:45" ht="26.1" customHeight="1">
      <c r="A360" s="223"/>
      <c r="B360" s="222"/>
      <c r="C360" s="221"/>
      <c r="D360" s="220"/>
      <c r="E360" s="213" t="s">
        <v>39</v>
      </c>
      <c r="F360" s="112" t="s">
        <v>78</v>
      </c>
      <c r="G360" s="214" t="s">
        <v>40</v>
      </c>
      <c r="H360" s="220"/>
      <c r="I360" s="290"/>
      <c r="J360" s="102">
        <f>ROUNDUP('Tarifa 2026'!J361*(1+Instructions!$AA$9),3)</f>
        <v>14.8</v>
      </c>
      <c r="K360" s="103">
        <f t="shared" si="37"/>
        <v>15.54</v>
      </c>
      <c r="L360" s="103" t="str">
        <f t="shared" si="38"/>
        <v>-</v>
      </c>
      <c r="M360" s="73"/>
      <c r="N360" s="74"/>
    </row>
    <row r="361" spans="1:45" ht="26.1" customHeight="1">
      <c r="A361" s="223"/>
      <c r="B361" s="222"/>
      <c r="C361" s="221"/>
      <c r="D361" s="220"/>
      <c r="E361" s="213" t="s">
        <v>39</v>
      </c>
      <c r="F361" s="112" t="s">
        <v>79</v>
      </c>
      <c r="G361" s="214" t="s">
        <v>40</v>
      </c>
      <c r="H361" s="61"/>
      <c r="I361" s="65"/>
      <c r="J361" s="102">
        <f>ROUNDUP('Tarifa 2026'!J362*(1+Instructions!$AA$9),3)</f>
        <v>15.6</v>
      </c>
      <c r="K361" s="103">
        <f t="shared" si="37"/>
        <v>16.38</v>
      </c>
      <c r="L361" s="103" t="str">
        <f t="shared" si="38"/>
        <v>-</v>
      </c>
      <c r="M361" s="73"/>
      <c r="N361" s="74"/>
    </row>
    <row r="362" spans="1:45" ht="26.1" customHeight="1">
      <c r="A362" s="310">
        <v>204</v>
      </c>
      <c r="B362" s="324" t="s">
        <v>53</v>
      </c>
      <c r="C362" s="325">
        <v>6636</v>
      </c>
      <c r="D362" s="313" t="s">
        <v>45</v>
      </c>
      <c r="E362" s="185" t="s">
        <v>41</v>
      </c>
      <c r="F362" s="185" t="s">
        <v>62</v>
      </c>
      <c r="G362" s="185" t="s">
        <v>44</v>
      </c>
      <c r="H362" s="313">
        <v>25</v>
      </c>
      <c r="I362" s="326">
        <v>1</v>
      </c>
      <c r="J362" s="168">
        <f>ROUNDUP('Tarifa 2026'!J363*(1+Instructions!$AA$9),3)</f>
        <v>11.2</v>
      </c>
      <c r="K362" s="187">
        <f t="shared" si="35"/>
        <v>11.76</v>
      </c>
      <c r="L362" s="187" t="str">
        <f>IF(I362=1,"-",IF(AND(I362="",L359="-"),"-",ROUNDUP((J362*0.2)+J362,3)))</f>
        <v>-</v>
      </c>
      <c r="M362" s="73"/>
      <c r="N362" s="74"/>
    </row>
    <row r="363" spans="1:45" ht="26.1" customHeight="1">
      <c r="A363" s="310"/>
      <c r="B363" s="324"/>
      <c r="C363" s="325"/>
      <c r="D363" s="313"/>
      <c r="E363" s="185" t="s">
        <v>41</v>
      </c>
      <c r="F363" s="185" t="s">
        <v>78</v>
      </c>
      <c r="G363" s="185" t="s">
        <v>44</v>
      </c>
      <c r="H363" s="313"/>
      <c r="I363" s="326"/>
      <c r="J363" s="168">
        <f>ROUNDUP('Tarifa 2026'!J364*(1+Instructions!$AA$9),3)</f>
        <v>13.4</v>
      </c>
      <c r="K363" s="187">
        <f t="shared" si="35"/>
        <v>14.07</v>
      </c>
      <c r="L363" s="187" t="str">
        <f>IF(I363=1,"-",IF(AND(I363="",L360="-"),"-",ROUNDUP((J363*0.2)+J363,3)))</f>
        <v>-</v>
      </c>
      <c r="M363" s="73"/>
      <c r="N363" s="74"/>
    </row>
    <row r="364" spans="1:45" s="6" customFormat="1" ht="26.1" customHeight="1">
      <c r="A364" s="310"/>
      <c r="B364" s="324"/>
      <c r="C364" s="325"/>
      <c r="D364" s="313"/>
      <c r="E364" s="185" t="s">
        <v>41</v>
      </c>
      <c r="F364" s="185" t="s">
        <v>62</v>
      </c>
      <c r="G364" s="185" t="s">
        <v>40</v>
      </c>
      <c r="H364" s="313"/>
      <c r="I364" s="326"/>
      <c r="J364" s="168">
        <f>ROUNDUP('Tarifa 2026'!J365*(1+Instructions!$AA$9),3)</f>
        <v>12.4</v>
      </c>
      <c r="K364" s="187">
        <f t="shared" si="35"/>
        <v>13.02</v>
      </c>
      <c r="L364" s="187" t="str">
        <f t="shared" si="36"/>
        <v>-</v>
      </c>
      <c r="M364" s="73"/>
      <c r="N364" s="74"/>
      <c r="O364"/>
      <c r="P364"/>
      <c r="Q364"/>
      <c r="R364"/>
    </row>
    <row r="365" spans="1:45" s="6" customFormat="1" ht="26.1" customHeight="1">
      <c r="A365" s="310"/>
      <c r="B365" s="324"/>
      <c r="C365" s="325"/>
      <c r="D365" s="313"/>
      <c r="E365" s="185" t="s">
        <v>41</v>
      </c>
      <c r="F365" s="185" t="s">
        <v>78</v>
      </c>
      <c r="G365" s="185" t="s">
        <v>40</v>
      </c>
      <c r="H365" s="313"/>
      <c r="I365" s="326"/>
      <c r="J365" s="168">
        <f>ROUNDUP('Tarifa 2026'!J366*(1+Instructions!$AA$9),3)</f>
        <v>14.8</v>
      </c>
      <c r="K365" s="187">
        <f t="shared" si="35"/>
        <v>15.54</v>
      </c>
      <c r="L365" s="187" t="str">
        <f t="shared" si="36"/>
        <v>-</v>
      </c>
      <c r="M365" s="73"/>
      <c r="N365" s="74"/>
      <c r="O365"/>
      <c r="P365"/>
      <c r="Q365"/>
      <c r="R365"/>
      <c r="S365"/>
      <c r="T365"/>
      <c r="U365"/>
      <c r="V365"/>
      <c r="W365"/>
      <c r="X365"/>
      <c r="Y365"/>
      <c r="Z365"/>
      <c r="AA365"/>
      <c r="AB365"/>
      <c r="AC365"/>
      <c r="AD365"/>
      <c r="AE365"/>
      <c r="AF365"/>
      <c r="AG365"/>
      <c r="AH365"/>
      <c r="AI365"/>
      <c r="AJ365"/>
      <c r="AK365"/>
      <c r="AL365"/>
      <c r="AM365"/>
      <c r="AN365"/>
      <c r="AO365"/>
      <c r="AP365"/>
      <c r="AQ365"/>
      <c r="AR365"/>
      <c r="AS365"/>
    </row>
    <row r="366" spans="1:45" s="6" customFormat="1" ht="26.1" customHeight="1">
      <c r="A366" s="223">
        <v>204</v>
      </c>
      <c r="B366" s="222" t="s">
        <v>53</v>
      </c>
      <c r="C366" s="221">
        <v>5009</v>
      </c>
      <c r="D366" s="220" t="s">
        <v>299</v>
      </c>
      <c r="E366" s="61" t="s">
        <v>39</v>
      </c>
      <c r="F366" s="61" t="s">
        <v>62</v>
      </c>
      <c r="G366" s="61" t="s">
        <v>44</v>
      </c>
      <c r="H366" s="220">
        <v>25</v>
      </c>
      <c r="I366" s="290">
        <v>1</v>
      </c>
      <c r="J366" s="102">
        <f>ROUNDUP('Tarifa 2026'!J367*(1+Instructions!$AA$9),3)</f>
        <v>10.8</v>
      </c>
      <c r="K366" s="103">
        <f t="shared" si="35"/>
        <v>11.34</v>
      </c>
      <c r="L366" s="103" t="str">
        <f t="shared" si="36"/>
        <v>-</v>
      </c>
      <c r="M366" s="73"/>
      <c r="N366" s="74"/>
      <c r="O366"/>
      <c r="P366"/>
      <c r="Q366"/>
      <c r="R366"/>
      <c r="S366"/>
      <c r="T366"/>
      <c r="U366"/>
      <c r="V366"/>
      <c r="W366"/>
      <c r="X366"/>
      <c r="Y366"/>
      <c r="Z366"/>
      <c r="AA366"/>
      <c r="AB366"/>
      <c r="AC366"/>
      <c r="AD366"/>
      <c r="AE366"/>
      <c r="AF366"/>
      <c r="AG366"/>
      <c r="AH366"/>
      <c r="AI366"/>
      <c r="AJ366"/>
      <c r="AK366"/>
      <c r="AL366"/>
      <c r="AM366"/>
      <c r="AN366"/>
      <c r="AO366"/>
      <c r="AP366"/>
      <c r="AQ366"/>
      <c r="AR366"/>
      <c r="AS366"/>
    </row>
    <row r="367" spans="1:45" s="6" customFormat="1" ht="26.1" customHeight="1">
      <c r="A367" s="223"/>
      <c r="B367" s="222"/>
      <c r="C367" s="221"/>
      <c r="D367" s="220"/>
      <c r="E367" s="61" t="s">
        <v>39</v>
      </c>
      <c r="F367" s="61" t="s">
        <v>62</v>
      </c>
      <c r="G367" s="61" t="s">
        <v>40</v>
      </c>
      <c r="H367" s="220"/>
      <c r="I367" s="290"/>
      <c r="J367" s="102">
        <f>ROUNDUP('Tarifa 2026'!J368*(1+Instructions!$AA$9),3)</f>
        <v>13</v>
      </c>
      <c r="K367" s="103">
        <f t="shared" si="35"/>
        <v>13.65</v>
      </c>
      <c r="L367" s="103" t="str">
        <f t="shared" si="36"/>
        <v>-</v>
      </c>
      <c r="M367" s="73"/>
      <c r="N367" s="74"/>
      <c r="O367"/>
      <c r="P367"/>
      <c r="Q367"/>
      <c r="R367"/>
    </row>
    <row r="368" spans="1:45" s="6" customFormat="1" ht="26.1" customHeight="1">
      <c r="A368" s="223"/>
      <c r="B368" s="222"/>
      <c r="C368" s="221"/>
      <c r="D368" s="220"/>
      <c r="E368" s="61" t="s">
        <v>39</v>
      </c>
      <c r="F368" s="61" t="s">
        <v>78</v>
      </c>
      <c r="G368" s="61" t="s">
        <v>102</v>
      </c>
      <c r="H368" s="220"/>
      <c r="I368" s="290"/>
      <c r="J368" s="102">
        <f>ROUNDUP('Tarifa 2026'!J369*(1+Instructions!$AA$9),3)</f>
        <v>14.36</v>
      </c>
      <c r="K368" s="103">
        <f t="shared" si="35"/>
        <v>15.077999999999999</v>
      </c>
      <c r="L368" s="103" t="str">
        <f t="shared" si="36"/>
        <v>-</v>
      </c>
      <c r="M368" s="73"/>
      <c r="N368" s="74"/>
      <c r="O368"/>
      <c r="P368"/>
      <c r="Q368"/>
      <c r="R368"/>
    </row>
    <row r="369" spans="1:45" s="6" customFormat="1" ht="26.1" customHeight="1">
      <c r="A369" s="310">
        <v>206</v>
      </c>
      <c r="B369" s="324" t="s">
        <v>53</v>
      </c>
      <c r="C369" s="325">
        <v>1070</v>
      </c>
      <c r="D369" s="313" t="s">
        <v>300</v>
      </c>
      <c r="E369" s="185" t="s">
        <v>107</v>
      </c>
      <c r="F369" s="185" t="s">
        <v>80</v>
      </c>
      <c r="G369" s="185" t="s">
        <v>84</v>
      </c>
      <c r="H369" s="313">
        <v>30</v>
      </c>
      <c r="I369" s="314">
        <v>1</v>
      </c>
      <c r="J369" s="168">
        <f>ROUNDUP('Tarifa 2026'!J370*(1+Instructions!$AA$9),3)</f>
        <v>11.9</v>
      </c>
      <c r="K369" s="187">
        <f t="shared" si="35"/>
        <v>12.494999999999999</v>
      </c>
      <c r="L369" s="187" t="str">
        <f t="shared" si="36"/>
        <v>-</v>
      </c>
      <c r="M369" s="73"/>
      <c r="N369" s="74"/>
      <c r="O369"/>
      <c r="P369"/>
      <c r="Q369"/>
      <c r="R369"/>
    </row>
    <row r="370" spans="1:45" s="6" customFormat="1" ht="26.1" customHeight="1">
      <c r="A370" s="310"/>
      <c r="B370" s="324"/>
      <c r="C370" s="325"/>
      <c r="D370" s="313"/>
      <c r="E370" s="185" t="s">
        <v>107</v>
      </c>
      <c r="F370" s="185" t="s">
        <v>78</v>
      </c>
      <c r="G370" s="185" t="s">
        <v>84</v>
      </c>
      <c r="H370" s="313"/>
      <c r="I370" s="314"/>
      <c r="J370" s="168">
        <f>ROUNDUP('Tarifa 2026'!J371*(1+Instructions!$AA$9),3)</f>
        <v>13</v>
      </c>
      <c r="K370" s="187">
        <f t="shared" si="35"/>
        <v>13.65</v>
      </c>
      <c r="L370" s="187" t="str">
        <f t="shared" si="36"/>
        <v>-</v>
      </c>
      <c r="M370" s="73"/>
      <c r="N370" s="74"/>
      <c r="O370"/>
      <c r="P370"/>
      <c r="Q370"/>
      <c r="R370"/>
    </row>
    <row r="371" spans="1:45" s="6" customFormat="1" ht="26.1" customHeight="1">
      <c r="A371" s="223">
        <v>206</v>
      </c>
      <c r="B371" s="222" t="s">
        <v>53</v>
      </c>
      <c r="C371" s="221">
        <v>1117</v>
      </c>
      <c r="D371" s="220" t="s">
        <v>109</v>
      </c>
      <c r="E371" s="61" t="s">
        <v>39</v>
      </c>
      <c r="F371" s="61" t="s">
        <v>80</v>
      </c>
      <c r="G371" s="61" t="s">
        <v>40</v>
      </c>
      <c r="H371" s="220">
        <v>30</v>
      </c>
      <c r="I371" s="290">
        <v>1</v>
      </c>
      <c r="J371" s="102">
        <f>ROUNDUP('Tarifa 2026'!J372*(1+Instructions!$AA$9),3)</f>
        <v>17.7</v>
      </c>
      <c r="K371" s="103">
        <f t="shared" si="35"/>
        <v>18.585000000000001</v>
      </c>
      <c r="L371" s="103" t="str">
        <f t="shared" si="36"/>
        <v>-</v>
      </c>
      <c r="M371" s="73"/>
      <c r="N371" s="74"/>
      <c r="O371"/>
      <c r="P371"/>
      <c r="Q371"/>
      <c r="R371"/>
      <c r="S371"/>
      <c r="T371"/>
      <c r="U371"/>
      <c r="V371"/>
      <c r="W371"/>
      <c r="X371"/>
      <c r="Y371"/>
      <c r="Z371"/>
      <c r="AA371"/>
      <c r="AB371"/>
      <c r="AC371"/>
      <c r="AD371"/>
      <c r="AE371"/>
      <c r="AF371"/>
      <c r="AG371"/>
      <c r="AH371"/>
      <c r="AI371"/>
      <c r="AJ371"/>
      <c r="AK371"/>
      <c r="AL371"/>
      <c r="AM371"/>
      <c r="AN371"/>
      <c r="AO371"/>
      <c r="AP371"/>
      <c r="AQ371"/>
      <c r="AR371"/>
      <c r="AS371"/>
    </row>
    <row r="372" spans="1:45" s="6" customFormat="1" ht="26.1" customHeight="1">
      <c r="A372" s="223"/>
      <c r="B372" s="222"/>
      <c r="C372" s="221"/>
      <c r="D372" s="220"/>
      <c r="E372" s="61" t="s">
        <v>39</v>
      </c>
      <c r="F372" s="61" t="s">
        <v>78</v>
      </c>
      <c r="G372" s="61" t="s">
        <v>40</v>
      </c>
      <c r="H372" s="220"/>
      <c r="I372" s="290"/>
      <c r="J372" s="102">
        <f>ROUNDUP('Tarifa 2026'!J373*(1+Instructions!$AA$9),3)</f>
        <v>19.52</v>
      </c>
      <c r="K372" s="103">
        <f t="shared" si="35"/>
        <v>20.495999999999999</v>
      </c>
      <c r="L372" s="103" t="str">
        <f t="shared" si="36"/>
        <v>-</v>
      </c>
      <c r="M372" s="73"/>
      <c r="N372" s="74"/>
      <c r="O372"/>
      <c r="P372"/>
      <c r="Q372"/>
      <c r="R372"/>
      <c r="S372"/>
      <c r="T372"/>
      <c r="U372"/>
      <c r="V372"/>
      <c r="W372"/>
      <c r="X372"/>
      <c r="Y372"/>
      <c r="Z372"/>
      <c r="AA372"/>
      <c r="AB372"/>
      <c r="AC372"/>
      <c r="AD372"/>
      <c r="AE372"/>
      <c r="AF372"/>
      <c r="AG372"/>
      <c r="AH372"/>
      <c r="AI372"/>
      <c r="AJ372"/>
      <c r="AK372"/>
      <c r="AL372"/>
      <c r="AM372"/>
      <c r="AN372"/>
      <c r="AO372"/>
      <c r="AP372"/>
      <c r="AQ372"/>
      <c r="AR372"/>
      <c r="AS372"/>
    </row>
    <row r="373" spans="1:45" s="6" customFormat="1" ht="26.1" customHeight="1">
      <c r="A373" s="310">
        <v>207</v>
      </c>
      <c r="B373" s="324" t="s">
        <v>53</v>
      </c>
      <c r="C373" s="325">
        <v>1109</v>
      </c>
      <c r="D373" s="313" t="s">
        <v>63</v>
      </c>
      <c r="E373" s="185" t="s">
        <v>39</v>
      </c>
      <c r="F373" s="185" t="s">
        <v>62</v>
      </c>
      <c r="G373" s="185" t="s">
        <v>84</v>
      </c>
      <c r="H373" s="313">
        <v>25</v>
      </c>
      <c r="I373" s="314">
        <v>1</v>
      </c>
      <c r="J373" s="168">
        <f>ROUNDUP('Tarifa 2026'!J374*(1+Instructions!$AA$9),3)</f>
        <v>17</v>
      </c>
      <c r="K373" s="187">
        <f t="shared" si="35"/>
        <v>17.850000000000001</v>
      </c>
      <c r="L373" s="187" t="str">
        <f t="shared" si="36"/>
        <v>-</v>
      </c>
      <c r="M373" s="73"/>
      <c r="N373" s="74"/>
      <c r="O373"/>
      <c r="P373"/>
      <c r="Q373"/>
      <c r="R373"/>
      <c r="S373"/>
      <c r="T373"/>
      <c r="U373"/>
      <c r="V373"/>
      <c r="W373"/>
      <c r="X373"/>
      <c r="Y373"/>
      <c r="Z373"/>
      <c r="AA373"/>
      <c r="AB373"/>
      <c r="AC373"/>
      <c r="AD373"/>
      <c r="AE373"/>
      <c r="AF373"/>
      <c r="AG373"/>
      <c r="AH373"/>
      <c r="AI373"/>
      <c r="AJ373"/>
      <c r="AK373"/>
      <c r="AL373"/>
      <c r="AM373"/>
      <c r="AN373"/>
      <c r="AO373"/>
      <c r="AP373"/>
      <c r="AQ373"/>
      <c r="AR373"/>
      <c r="AS373"/>
    </row>
    <row r="374" spans="1:45" s="6" customFormat="1" ht="26.1" customHeight="1">
      <c r="A374" s="310"/>
      <c r="B374" s="324"/>
      <c r="C374" s="325"/>
      <c r="D374" s="313"/>
      <c r="E374" s="185" t="s">
        <v>39</v>
      </c>
      <c r="F374" s="185" t="s">
        <v>78</v>
      </c>
      <c r="G374" s="185" t="s">
        <v>84</v>
      </c>
      <c r="H374" s="313"/>
      <c r="I374" s="314"/>
      <c r="J374" s="168">
        <f>ROUNDUP('Tarifa 2026'!J375*(1+Instructions!$AA$9),3)</f>
        <v>18.399999999999999</v>
      </c>
      <c r="K374" s="187">
        <f t="shared" si="35"/>
        <v>19.32</v>
      </c>
      <c r="L374" s="187" t="str">
        <f t="shared" si="36"/>
        <v>-</v>
      </c>
      <c r="M374" s="73"/>
      <c r="N374" s="74"/>
      <c r="O374"/>
      <c r="P374"/>
      <c r="Q374"/>
      <c r="R374"/>
      <c r="S374"/>
      <c r="T374"/>
      <c r="U374"/>
      <c r="V374"/>
      <c r="W374"/>
      <c r="X374"/>
      <c r="Y374"/>
      <c r="Z374"/>
      <c r="AA374"/>
      <c r="AB374"/>
      <c r="AC374"/>
      <c r="AD374"/>
      <c r="AE374"/>
      <c r="AF374"/>
      <c r="AG374"/>
      <c r="AH374"/>
      <c r="AI374"/>
      <c r="AJ374"/>
      <c r="AK374"/>
      <c r="AL374"/>
      <c r="AM374"/>
      <c r="AN374"/>
      <c r="AO374"/>
      <c r="AP374"/>
      <c r="AQ374"/>
      <c r="AR374"/>
      <c r="AS374"/>
    </row>
    <row r="375" spans="1:45" s="6" customFormat="1" ht="26.1" customHeight="1">
      <c r="A375" s="223">
        <v>207</v>
      </c>
      <c r="B375" s="222" t="s">
        <v>53</v>
      </c>
      <c r="C375" s="221">
        <v>6439</v>
      </c>
      <c r="D375" s="220" t="s">
        <v>122</v>
      </c>
      <c r="E375" s="61" t="s">
        <v>39</v>
      </c>
      <c r="F375" s="61" t="s">
        <v>62</v>
      </c>
      <c r="G375" s="61" t="s">
        <v>40</v>
      </c>
      <c r="H375" s="220">
        <v>25</v>
      </c>
      <c r="I375" s="290">
        <v>1</v>
      </c>
      <c r="J375" s="102">
        <f>ROUNDUP('Tarifa 2026'!J376*(1+Instructions!$AA$9),3)</f>
        <v>19</v>
      </c>
      <c r="K375" s="103">
        <f t="shared" si="35"/>
        <v>19.95</v>
      </c>
      <c r="L375" s="103" t="str">
        <f t="shared" si="36"/>
        <v>-</v>
      </c>
      <c r="M375" s="73"/>
      <c r="N375" s="74"/>
      <c r="O375"/>
      <c r="P375"/>
      <c r="Q375"/>
      <c r="R375"/>
    </row>
    <row r="376" spans="1:45" s="6" customFormat="1" ht="26.1" customHeight="1">
      <c r="A376" s="223"/>
      <c r="B376" s="222"/>
      <c r="C376" s="221"/>
      <c r="D376" s="220"/>
      <c r="E376" s="61" t="s">
        <v>39</v>
      </c>
      <c r="F376" s="61" t="s">
        <v>78</v>
      </c>
      <c r="G376" s="61" t="s">
        <v>40</v>
      </c>
      <c r="H376" s="220"/>
      <c r="I376" s="290"/>
      <c r="J376" s="102">
        <f>ROUNDUP('Tarifa 2026'!J377*(1+Instructions!$AA$9),3)</f>
        <v>19.600000000000001</v>
      </c>
      <c r="K376" s="103">
        <f t="shared" si="35"/>
        <v>20.58</v>
      </c>
      <c r="L376" s="103" t="str">
        <f t="shared" si="36"/>
        <v>-</v>
      </c>
      <c r="M376" s="73"/>
      <c r="N376" s="74"/>
      <c r="O376"/>
      <c r="P376"/>
      <c r="Q376"/>
      <c r="R376"/>
      <c r="S376"/>
      <c r="T376"/>
      <c r="U376"/>
      <c r="V376"/>
      <c r="W376"/>
      <c r="X376"/>
      <c r="Y376"/>
      <c r="Z376"/>
      <c r="AA376"/>
      <c r="AB376"/>
      <c r="AC376"/>
      <c r="AD376"/>
      <c r="AE376"/>
      <c r="AF376"/>
      <c r="AG376"/>
      <c r="AH376"/>
      <c r="AI376"/>
      <c r="AJ376"/>
      <c r="AK376"/>
      <c r="AL376"/>
      <c r="AM376"/>
      <c r="AN376"/>
      <c r="AO376"/>
      <c r="AP376"/>
      <c r="AQ376"/>
      <c r="AR376"/>
      <c r="AS376"/>
    </row>
    <row r="377" spans="1:45" ht="26.1" customHeight="1">
      <c r="A377" s="310">
        <v>208</v>
      </c>
      <c r="B377" s="324" t="s">
        <v>53</v>
      </c>
      <c r="C377" s="325">
        <v>5092</v>
      </c>
      <c r="D377" s="313" t="s">
        <v>71</v>
      </c>
      <c r="E377" s="185" t="s">
        <v>39</v>
      </c>
      <c r="F377" s="185" t="s">
        <v>62</v>
      </c>
      <c r="G377" s="185" t="s">
        <v>40</v>
      </c>
      <c r="H377" s="313">
        <v>10</v>
      </c>
      <c r="I377" s="326">
        <v>1</v>
      </c>
      <c r="J377" s="168">
        <f>ROUNDUP('Tarifa 2026'!J378*(1+Instructions!$AA$9),3)</f>
        <v>19.899999999999999</v>
      </c>
      <c r="K377" s="187">
        <f t="shared" si="35"/>
        <v>20.895</v>
      </c>
      <c r="L377" s="187" t="str">
        <f t="shared" si="36"/>
        <v>-</v>
      </c>
      <c r="M377" s="73"/>
      <c r="N377" s="74"/>
    </row>
    <row r="378" spans="1:45" s="6" customFormat="1" ht="26.1" customHeight="1">
      <c r="A378" s="310"/>
      <c r="B378" s="324"/>
      <c r="C378" s="325"/>
      <c r="D378" s="313"/>
      <c r="E378" s="185" t="s">
        <v>39</v>
      </c>
      <c r="F378" s="185" t="s">
        <v>78</v>
      </c>
      <c r="G378" s="185" t="s">
        <v>40</v>
      </c>
      <c r="H378" s="313"/>
      <c r="I378" s="326"/>
      <c r="J378" s="168">
        <f>ROUNDUP('Tarifa 2026'!J379*(1+Instructions!$AA$9),3)</f>
        <v>22.5</v>
      </c>
      <c r="K378" s="187">
        <f t="shared" si="35"/>
        <v>23.625</v>
      </c>
      <c r="L378" s="187" t="str">
        <f t="shared" si="36"/>
        <v>-</v>
      </c>
      <c r="M378" s="73"/>
      <c r="N378" s="74"/>
      <c r="O378"/>
      <c r="P378"/>
      <c r="Q378"/>
      <c r="R378"/>
      <c r="S378"/>
      <c r="T378"/>
      <c r="U378"/>
      <c r="V378"/>
      <c r="W378"/>
      <c r="X378"/>
      <c r="Y378"/>
      <c r="Z378"/>
      <c r="AA378"/>
      <c r="AB378"/>
      <c r="AC378"/>
      <c r="AD378"/>
      <c r="AE378"/>
      <c r="AF378"/>
      <c r="AG378"/>
      <c r="AH378"/>
      <c r="AI378"/>
      <c r="AJ378"/>
      <c r="AK378"/>
      <c r="AL378"/>
      <c r="AM378"/>
      <c r="AN378"/>
      <c r="AO378"/>
      <c r="AP378"/>
      <c r="AQ378"/>
      <c r="AR378"/>
      <c r="AS378"/>
    </row>
    <row r="379" spans="1:45" ht="26.1" customHeight="1">
      <c r="A379" s="310"/>
      <c r="B379" s="324"/>
      <c r="C379" s="325"/>
      <c r="D379" s="313"/>
      <c r="E379" s="185" t="s">
        <v>39</v>
      </c>
      <c r="F379" s="185" t="s">
        <v>79</v>
      </c>
      <c r="G379" s="185" t="s">
        <v>40</v>
      </c>
      <c r="H379" s="313"/>
      <c r="I379" s="326"/>
      <c r="J379" s="168">
        <f>ROUNDUP('Tarifa 2026'!J380*(1+Instructions!$AA$9),3)</f>
        <v>23</v>
      </c>
      <c r="K379" s="187">
        <f t="shared" si="35"/>
        <v>24.15</v>
      </c>
      <c r="L379" s="187" t="str">
        <f t="shared" si="36"/>
        <v>-</v>
      </c>
      <c r="M379" s="73"/>
      <c r="N379" s="74"/>
    </row>
    <row r="380" spans="1:45" s="6" customFormat="1" ht="26.1" customHeight="1">
      <c r="A380" s="63">
        <v>208</v>
      </c>
      <c r="B380" s="64" t="s">
        <v>53</v>
      </c>
      <c r="C380" s="161">
        <v>5093</v>
      </c>
      <c r="D380" s="61" t="s">
        <v>72</v>
      </c>
      <c r="E380" s="61" t="s">
        <v>41</v>
      </c>
      <c r="F380" s="61" t="s">
        <v>62</v>
      </c>
      <c r="G380" s="61" t="s">
        <v>40</v>
      </c>
      <c r="H380" s="61">
        <v>10</v>
      </c>
      <c r="I380" s="65">
        <v>1</v>
      </c>
      <c r="J380" s="102">
        <f>ROUNDUP('Tarifa 2026'!J381*(1+Instructions!$AA$9),3)</f>
        <v>19.899999999999999</v>
      </c>
      <c r="K380" s="103">
        <f t="shared" si="35"/>
        <v>20.895</v>
      </c>
      <c r="L380" s="103" t="str">
        <f t="shared" si="36"/>
        <v>-</v>
      </c>
      <c r="M380" s="73"/>
      <c r="N380" s="74"/>
      <c r="O380"/>
      <c r="P380"/>
      <c r="Q380"/>
      <c r="R380"/>
    </row>
    <row r="381" spans="1:45" s="6" customFormat="1" ht="26.1" customHeight="1">
      <c r="A381" s="310">
        <v>211</v>
      </c>
      <c r="B381" s="324" t="s">
        <v>53</v>
      </c>
      <c r="C381" s="325">
        <v>6438</v>
      </c>
      <c r="D381" s="313" t="s">
        <v>67</v>
      </c>
      <c r="E381" s="185" t="s">
        <v>39</v>
      </c>
      <c r="F381" s="185" t="s">
        <v>62</v>
      </c>
      <c r="G381" s="185" t="s">
        <v>40</v>
      </c>
      <c r="H381" s="313">
        <v>15</v>
      </c>
      <c r="I381" s="326">
        <v>1</v>
      </c>
      <c r="J381" s="168">
        <f>ROUNDUP('Tarifa 2026'!J382*(1+Instructions!$AA$9),3)</f>
        <v>18.899999999999999</v>
      </c>
      <c r="K381" s="187">
        <f t="shared" si="35"/>
        <v>19.844999999999999</v>
      </c>
      <c r="L381" s="187" t="str">
        <f t="shared" si="36"/>
        <v>-</v>
      </c>
      <c r="M381" s="73"/>
      <c r="N381" s="74"/>
      <c r="O381"/>
      <c r="P381"/>
      <c r="Q381"/>
      <c r="R381"/>
      <c r="S381"/>
      <c r="T381"/>
      <c r="U381"/>
      <c r="V381"/>
      <c r="W381"/>
      <c r="X381"/>
      <c r="Y381"/>
      <c r="Z381"/>
      <c r="AA381"/>
      <c r="AB381"/>
      <c r="AC381"/>
      <c r="AD381"/>
      <c r="AE381"/>
      <c r="AF381"/>
      <c r="AG381"/>
      <c r="AH381"/>
      <c r="AI381"/>
      <c r="AJ381"/>
      <c r="AK381"/>
      <c r="AL381"/>
      <c r="AM381"/>
      <c r="AN381"/>
      <c r="AO381"/>
      <c r="AP381"/>
      <c r="AQ381"/>
      <c r="AR381"/>
      <c r="AS381"/>
    </row>
    <row r="382" spans="1:45" s="6" customFormat="1" ht="26.1" customHeight="1">
      <c r="A382" s="310"/>
      <c r="B382" s="324"/>
      <c r="C382" s="325"/>
      <c r="D382" s="313"/>
      <c r="E382" s="185" t="s">
        <v>39</v>
      </c>
      <c r="F382" s="185" t="s">
        <v>78</v>
      </c>
      <c r="G382" s="185" t="s">
        <v>40</v>
      </c>
      <c r="H382" s="313"/>
      <c r="I382" s="326"/>
      <c r="J382" s="168">
        <f>ROUNDUP('Tarifa 2026'!J383*(1+Instructions!$AA$9),3)</f>
        <v>21.82</v>
      </c>
      <c r="K382" s="187">
        <f t="shared" si="35"/>
        <v>22.911000000000001</v>
      </c>
      <c r="L382" s="187" t="str">
        <f t="shared" si="36"/>
        <v>-</v>
      </c>
      <c r="M382" s="73"/>
      <c r="N382" s="74"/>
      <c r="O382"/>
      <c r="P382"/>
      <c r="Q382"/>
      <c r="R382"/>
    </row>
    <row r="383" spans="1:45" s="6" customFormat="1" ht="26.1" customHeight="1">
      <c r="A383" s="315">
        <v>114</v>
      </c>
      <c r="B383" s="330" t="s">
        <v>53</v>
      </c>
      <c r="C383" s="317">
        <v>1199</v>
      </c>
      <c r="D383" s="257" t="s">
        <v>33</v>
      </c>
      <c r="E383" s="112" t="s">
        <v>39</v>
      </c>
      <c r="F383" s="112" t="s">
        <v>62</v>
      </c>
      <c r="G383" s="112" t="s">
        <v>40</v>
      </c>
      <c r="H383" s="257">
        <v>15</v>
      </c>
      <c r="I383" s="331">
        <v>1</v>
      </c>
      <c r="J383" s="102">
        <f>ROUNDUP('Tarifa 2026'!J384*(1+Instructions!$AA$9),3)</f>
        <v>17.8</v>
      </c>
      <c r="K383" s="103">
        <f t="shared" si="35"/>
        <v>18.690000000000001</v>
      </c>
      <c r="L383" s="103" t="str">
        <f t="shared" si="36"/>
        <v>-</v>
      </c>
      <c r="M383" s="73"/>
      <c r="N383" s="74"/>
      <c r="O383"/>
      <c r="P383"/>
      <c r="Q383"/>
      <c r="R383"/>
    </row>
    <row r="384" spans="1:45" s="6" customFormat="1" ht="26.1" customHeight="1">
      <c r="A384" s="315"/>
      <c r="B384" s="330"/>
      <c r="C384" s="317"/>
      <c r="D384" s="257"/>
      <c r="E384" s="112" t="s">
        <v>39</v>
      </c>
      <c r="F384" s="112" t="s">
        <v>78</v>
      </c>
      <c r="G384" s="112" t="s">
        <v>40</v>
      </c>
      <c r="H384" s="257"/>
      <c r="I384" s="331"/>
      <c r="J384" s="102">
        <f>ROUNDUP('Tarifa 2026'!J385*(1+Instructions!$AA$9),3)</f>
        <v>18.7</v>
      </c>
      <c r="K384" s="103">
        <f t="shared" ref="K384" si="39">IF(I384=1,(ROUNDUP((J384*0.05+J384),3)),ROUNDUP((J384*0.05+J384),3))</f>
        <v>19.635000000000002</v>
      </c>
      <c r="L384" s="103" t="str">
        <f t="shared" ref="L384" si="40">IF(I384=1,"-",IF(AND(I384="",L382="-"),"-",ROUNDUP((J384*0.2)+J384,3)))</f>
        <v>-</v>
      </c>
      <c r="M384" s="73"/>
      <c r="N384" s="74"/>
      <c r="O384"/>
      <c r="P384"/>
      <c r="Q384"/>
      <c r="R384"/>
    </row>
    <row r="385" spans="1:45" s="6" customFormat="1" ht="26.1" customHeight="1">
      <c r="A385" s="310">
        <v>211</v>
      </c>
      <c r="B385" s="324" t="s">
        <v>53</v>
      </c>
      <c r="C385" s="325">
        <v>1099</v>
      </c>
      <c r="D385" s="313" t="s">
        <v>327</v>
      </c>
      <c r="E385" s="185" t="s">
        <v>39</v>
      </c>
      <c r="F385" s="185" t="s">
        <v>62</v>
      </c>
      <c r="G385" s="185" t="s">
        <v>84</v>
      </c>
      <c r="H385" s="313">
        <v>15</v>
      </c>
      <c r="I385" s="326">
        <v>1</v>
      </c>
      <c r="J385" s="168">
        <f>ROUNDUP('Tarifa 2026'!J386*(1+Instructions!$AA$9),3)</f>
        <v>13</v>
      </c>
      <c r="K385" s="187">
        <f t="shared" si="35"/>
        <v>13.65</v>
      </c>
      <c r="L385" s="187" t="str">
        <f>IF(I385=1,"-",IF(AND(I385="",L382="-"),"-",ROUNDUP((J385*0.2)+J385,3)))</f>
        <v>-</v>
      </c>
      <c r="M385" s="73"/>
      <c r="N385" s="74"/>
      <c r="O385"/>
      <c r="P385"/>
      <c r="Q385"/>
      <c r="R385"/>
    </row>
    <row r="386" spans="1:45" ht="26.1" customHeight="1">
      <c r="A386" s="310"/>
      <c r="B386" s="324"/>
      <c r="C386" s="325"/>
      <c r="D386" s="313"/>
      <c r="E386" s="185" t="s">
        <v>39</v>
      </c>
      <c r="F386" s="185" t="s">
        <v>78</v>
      </c>
      <c r="G386" s="185" t="s">
        <v>84</v>
      </c>
      <c r="H386" s="313"/>
      <c r="I386" s="326"/>
      <c r="J386" s="168">
        <f>ROUNDUP('Tarifa 2026'!J387*(1+Instructions!$AA$9),3)</f>
        <v>14.34</v>
      </c>
      <c r="K386" s="187">
        <f t="shared" si="35"/>
        <v>15.057</v>
      </c>
      <c r="L386" s="187" t="str">
        <f>IF(I386=1,"-",IF(AND(I386="",L383="-"),"-",ROUNDUP((J386*0.2)+J386,3)))</f>
        <v>-</v>
      </c>
      <c r="M386" s="73"/>
      <c r="N386" s="74"/>
    </row>
    <row r="387" spans="1:45" ht="26.1" customHeight="1">
      <c r="A387" s="223">
        <v>212</v>
      </c>
      <c r="B387" s="222" t="s">
        <v>53</v>
      </c>
      <c r="C387" s="221">
        <v>6412</v>
      </c>
      <c r="D387" s="220" t="s">
        <v>328</v>
      </c>
      <c r="E387" s="61" t="s">
        <v>39</v>
      </c>
      <c r="F387" s="61" t="s">
        <v>62</v>
      </c>
      <c r="G387" s="61" t="s">
        <v>40</v>
      </c>
      <c r="H387" s="220">
        <v>15</v>
      </c>
      <c r="I387" s="290">
        <v>1</v>
      </c>
      <c r="J387" s="102">
        <f>ROUNDUP('Tarifa 2026'!J388*(1+Instructions!$AA$9),3)</f>
        <v>15.8</v>
      </c>
      <c r="K387" s="103">
        <f t="shared" si="35"/>
        <v>16.59</v>
      </c>
      <c r="L387" s="103" t="str">
        <f t="shared" si="36"/>
        <v>-</v>
      </c>
      <c r="M387" s="73"/>
      <c r="N387" s="74"/>
    </row>
    <row r="388" spans="1:45" s="6" customFormat="1" ht="26.1" customHeight="1">
      <c r="A388" s="223"/>
      <c r="B388" s="222"/>
      <c r="C388" s="221"/>
      <c r="D388" s="220"/>
      <c r="E388" s="61" t="s">
        <v>39</v>
      </c>
      <c r="F388" s="61" t="s">
        <v>78</v>
      </c>
      <c r="G388" s="61" t="s">
        <v>40</v>
      </c>
      <c r="H388" s="220"/>
      <c r="I388" s="290"/>
      <c r="J388" s="102">
        <f>ROUNDUP('Tarifa 2026'!J389*(1+Instructions!$AA$9),3)</f>
        <v>17.52</v>
      </c>
      <c r="K388" s="103">
        <f t="shared" si="35"/>
        <v>18.396000000000001</v>
      </c>
      <c r="L388" s="103" t="str">
        <f t="shared" si="36"/>
        <v>-</v>
      </c>
      <c r="M388" s="73"/>
      <c r="N388" s="74"/>
      <c r="O388"/>
      <c r="P388"/>
      <c r="Q388"/>
      <c r="R388"/>
    </row>
    <row r="389" spans="1:45" s="6" customFormat="1" ht="26.1" customHeight="1">
      <c r="A389" s="223"/>
      <c r="B389" s="222"/>
      <c r="C389" s="221"/>
      <c r="D389" s="220"/>
      <c r="E389" s="61" t="s">
        <v>39</v>
      </c>
      <c r="F389" s="61" t="s">
        <v>79</v>
      </c>
      <c r="G389" s="61" t="s">
        <v>40</v>
      </c>
      <c r="H389" s="220"/>
      <c r="I389" s="290"/>
      <c r="J389" s="102">
        <f>ROUNDUP('Tarifa 2026'!J390*(1+Instructions!$AA$9),3)</f>
        <v>19.12</v>
      </c>
      <c r="K389" s="103">
        <f t="shared" si="35"/>
        <v>20.076000000000001</v>
      </c>
      <c r="L389" s="103" t="str">
        <f t="shared" si="36"/>
        <v>-</v>
      </c>
      <c r="M389" s="73"/>
      <c r="N389" s="74"/>
      <c r="O389"/>
      <c r="P389"/>
      <c r="Q389"/>
      <c r="R389"/>
      <c r="S389"/>
      <c r="T389"/>
      <c r="U389"/>
      <c r="V389"/>
      <c r="W389"/>
      <c r="X389"/>
      <c r="Y389"/>
      <c r="Z389"/>
      <c r="AA389"/>
      <c r="AB389"/>
      <c r="AC389"/>
      <c r="AD389"/>
      <c r="AE389"/>
      <c r="AF389"/>
      <c r="AG389"/>
      <c r="AH389"/>
      <c r="AI389"/>
      <c r="AJ389"/>
      <c r="AK389"/>
      <c r="AL389"/>
      <c r="AM389"/>
      <c r="AN389"/>
      <c r="AO389"/>
      <c r="AP389"/>
      <c r="AQ389"/>
      <c r="AR389"/>
      <c r="AS389"/>
    </row>
    <row r="390" spans="1:45" ht="26.1" customHeight="1">
      <c r="A390" s="188">
        <v>212</v>
      </c>
      <c r="B390" s="183" t="s">
        <v>53</v>
      </c>
      <c r="C390" s="184">
        <v>6413</v>
      </c>
      <c r="D390" s="185" t="s">
        <v>329</v>
      </c>
      <c r="E390" s="185" t="s">
        <v>41</v>
      </c>
      <c r="F390" s="185" t="s">
        <v>62</v>
      </c>
      <c r="G390" s="185" t="s">
        <v>40</v>
      </c>
      <c r="H390" s="185">
        <v>15</v>
      </c>
      <c r="I390" s="191">
        <v>1</v>
      </c>
      <c r="J390" s="168">
        <f>ROUNDUP('Tarifa 2026'!J391*(1+Instructions!$AA$9),3)</f>
        <v>15.8</v>
      </c>
      <c r="K390" s="187">
        <f t="shared" si="35"/>
        <v>16.59</v>
      </c>
      <c r="L390" s="187" t="str">
        <f t="shared" si="36"/>
        <v>-</v>
      </c>
      <c r="M390" s="73"/>
      <c r="N390" s="74"/>
    </row>
    <row r="391" spans="1:45" ht="26.1" customHeight="1">
      <c r="A391" s="63">
        <v>212</v>
      </c>
      <c r="B391" s="209" t="s">
        <v>53</v>
      </c>
      <c r="C391" s="161">
        <v>1095</v>
      </c>
      <c r="D391" s="61" t="s">
        <v>27</v>
      </c>
      <c r="E391" s="61" t="s">
        <v>39</v>
      </c>
      <c r="F391" s="61" t="s">
        <v>62</v>
      </c>
      <c r="G391" s="61" t="s">
        <v>84</v>
      </c>
      <c r="H391" s="61">
        <v>25</v>
      </c>
      <c r="I391" s="65">
        <v>1</v>
      </c>
      <c r="J391" s="102">
        <f>ROUNDUP('Tarifa 2026'!J392*(1+Instructions!$AA$9),3)</f>
        <v>8.6999999999999993</v>
      </c>
      <c r="K391" s="103">
        <f t="shared" si="35"/>
        <v>9.1349999999999998</v>
      </c>
      <c r="L391" s="103" t="str">
        <f t="shared" si="36"/>
        <v>-</v>
      </c>
      <c r="M391" s="73"/>
      <c r="N391" s="74"/>
    </row>
    <row r="392" spans="1:45" ht="26.1" customHeight="1">
      <c r="A392" s="310">
        <v>212</v>
      </c>
      <c r="B392" s="324" t="s">
        <v>53</v>
      </c>
      <c r="C392" s="325">
        <v>1195</v>
      </c>
      <c r="D392" s="313" t="s">
        <v>43</v>
      </c>
      <c r="E392" s="185" t="s">
        <v>39</v>
      </c>
      <c r="F392" s="185" t="s">
        <v>62</v>
      </c>
      <c r="G392" s="185" t="s">
        <v>40</v>
      </c>
      <c r="H392" s="313">
        <v>15</v>
      </c>
      <c r="I392" s="326">
        <v>1</v>
      </c>
      <c r="J392" s="168">
        <f>ROUNDUP('Tarifa 2026'!J393*(1+Instructions!$AA$9),3)</f>
        <v>19.899999999999999</v>
      </c>
      <c r="K392" s="187">
        <f t="shared" si="35"/>
        <v>20.895</v>
      </c>
      <c r="L392" s="187" t="str">
        <f t="shared" si="36"/>
        <v>-</v>
      </c>
      <c r="M392" s="73"/>
      <c r="N392" s="74"/>
    </row>
    <row r="393" spans="1:45" s="6" customFormat="1" ht="26.1" customHeight="1">
      <c r="A393" s="310"/>
      <c r="B393" s="324"/>
      <c r="C393" s="325"/>
      <c r="D393" s="313"/>
      <c r="E393" s="185" t="s">
        <v>39</v>
      </c>
      <c r="F393" s="185" t="s">
        <v>78</v>
      </c>
      <c r="G393" s="185" t="s">
        <v>40</v>
      </c>
      <c r="H393" s="313"/>
      <c r="I393" s="326"/>
      <c r="J393" s="168">
        <f>ROUNDUP('Tarifa 2026'!J394*(1+Instructions!$AA$9),3)</f>
        <v>22.7</v>
      </c>
      <c r="K393" s="187">
        <f t="shared" si="35"/>
        <v>23.835000000000001</v>
      </c>
      <c r="L393" s="187" t="str">
        <f t="shared" si="36"/>
        <v>-</v>
      </c>
      <c r="M393" s="73"/>
      <c r="N393" s="74"/>
      <c r="O393"/>
      <c r="P393"/>
      <c r="Q393"/>
      <c r="R393"/>
      <c r="S393"/>
      <c r="T393"/>
      <c r="U393"/>
      <c r="V393"/>
      <c r="W393"/>
      <c r="X393"/>
      <c r="Y393"/>
      <c r="Z393"/>
      <c r="AA393"/>
      <c r="AB393"/>
      <c r="AC393"/>
      <c r="AD393"/>
      <c r="AE393"/>
      <c r="AF393"/>
      <c r="AG393"/>
      <c r="AH393"/>
      <c r="AI393"/>
      <c r="AJ393"/>
      <c r="AK393"/>
      <c r="AL393"/>
      <c r="AM393"/>
      <c r="AN393"/>
      <c r="AO393"/>
      <c r="AP393"/>
      <c r="AQ393"/>
      <c r="AR393"/>
      <c r="AS393"/>
    </row>
    <row r="394" spans="1:45" ht="26.1" customHeight="1">
      <c r="A394" s="223">
        <v>215</v>
      </c>
      <c r="B394" s="222" t="s">
        <v>53</v>
      </c>
      <c r="C394" s="221">
        <v>6436</v>
      </c>
      <c r="D394" s="220" t="s">
        <v>65</v>
      </c>
      <c r="E394" s="61" t="s">
        <v>39</v>
      </c>
      <c r="F394" s="61" t="s">
        <v>62</v>
      </c>
      <c r="G394" s="61" t="s">
        <v>40</v>
      </c>
      <c r="H394" s="220">
        <v>15</v>
      </c>
      <c r="I394" s="290">
        <v>1</v>
      </c>
      <c r="J394" s="102">
        <f>ROUNDUP('Tarifa 2026'!J395*(1+Instructions!$AA$9),3)</f>
        <v>25.6</v>
      </c>
      <c r="K394" s="103">
        <f t="shared" si="35"/>
        <v>26.88</v>
      </c>
      <c r="L394" s="103" t="str">
        <f t="shared" si="36"/>
        <v>-</v>
      </c>
      <c r="M394" s="73"/>
      <c r="N394" s="74"/>
    </row>
    <row r="395" spans="1:45" ht="26.1" customHeight="1">
      <c r="A395" s="223"/>
      <c r="B395" s="222"/>
      <c r="C395" s="221"/>
      <c r="D395" s="220"/>
      <c r="E395" s="61" t="s">
        <v>39</v>
      </c>
      <c r="F395" s="61" t="s">
        <v>104</v>
      </c>
      <c r="G395" s="61" t="s">
        <v>40</v>
      </c>
      <c r="H395" s="220"/>
      <c r="I395" s="290"/>
      <c r="J395" s="102">
        <f>ROUNDUP('Tarifa 2026'!J396*(1+Instructions!$AA$9),3)</f>
        <v>28.18</v>
      </c>
      <c r="K395" s="103">
        <f t="shared" si="35"/>
        <v>29.588999999999999</v>
      </c>
      <c r="L395" s="103" t="str">
        <f t="shared" si="36"/>
        <v>-</v>
      </c>
      <c r="M395" s="73"/>
      <c r="N395" s="74"/>
    </row>
    <row r="396" spans="1:45" s="6" customFormat="1" ht="26.1" customHeight="1">
      <c r="A396" s="310">
        <v>215</v>
      </c>
      <c r="B396" s="324" t="s">
        <v>53</v>
      </c>
      <c r="C396" s="325">
        <v>6437</v>
      </c>
      <c r="D396" s="313" t="s">
        <v>66</v>
      </c>
      <c r="E396" s="185" t="s">
        <v>41</v>
      </c>
      <c r="F396" s="185" t="s">
        <v>62</v>
      </c>
      <c r="G396" s="185" t="s">
        <v>101</v>
      </c>
      <c r="H396" s="313">
        <v>15</v>
      </c>
      <c r="I396" s="314">
        <v>1</v>
      </c>
      <c r="J396" s="168">
        <f>ROUNDUP('Tarifa 2026'!J397*(1+Instructions!$AA$9),3)</f>
        <v>25.6</v>
      </c>
      <c r="K396" s="187">
        <f t="shared" si="35"/>
        <v>26.88</v>
      </c>
      <c r="L396" s="187" t="str">
        <f t="shared" si="36"/>
        <v>-</v>
      </c>
      <c r="M396" s="73"/>
      <c r="N396" s="74"/>
      <c r="O396"/>
      <c r="P396"/>
      <c r="Q396"/>
      <c r="R396"/>
      <c r="S396"/>
      <c r="T396"/>
      <c r="U396"/>
      <c r="V396"/>
      <c r="W396"/>
      <c r="X396"/>
      <c r="Y396"/>
      <c r="Z396"/>
      <c r="AA396"/>
      <c r="AB396"/>
      <c r="AC396"/>
      <c r="AD396"/>
      <c r="AE396"/>
      <c r="AF396"/>
      <c r="AG396"/>
      <c r="AH396"/>
      <c r="AI396"/>
      <c r="AJ396"/>
      <c r="AK396"/>
      <c r="AL396"/>
      <c r="AM396"/>
      <c r="AN396"/>
      <c r="AO396"/>
      <c r="AP396"/>
      <c r="AQ396"/>
      <c r="AR396"/>
      <c r="AS396"/>
    </row>
    <row r="397" spans="1:45" s="6" customFormat="1" ht="26.1" customHeight="1">
      <c r="A397" s="310"/>
      <c r="B397" s="324"/>
      <c r="C397" s="325"/>
      <c r="D397" s="313"/>
      <c r="E397" s="185" t="s">
        <v>41</v>
      </c>
      <c r="F397" s="185" t="s">
        <v>78</v>
      </c>
      <c r="G397" s="185" t="s">
        <v>101</v>
      </c>
      <c r="H397" s="313"/>
      <c r="I397" s="314"/>
      <c r="J397" s="168">
        <f>ROUNDUP('Tarifa 2026'!J398*(1+Instructions!$AA$9),3)</f>
        <v>28.18</v>
      </c>
      <c r="K397" s="187">
        <f t="shared" si="35"/>
        <v>29.588999999999999</v>
      </c>
      <c r="L397" s="187" t="str">
        <f t="shared" si="36"/>
        <v>-</v>
      </c>
      <c r="M397" s="73"/>
      <c r="N397" s="74"/>
      <c r="O397"/>
      <c r="P397"/>
      <c r="Q397"/>
      <c r="R397"/>
    </row>
    <row r="398" spans="1:45" s="6" customFormat="1" ht="26.1" customHeight="1">
      <c r="A398" s="223">
        <v>215</v>
      </c>
      <c r="B398" s="222" t="s">
        <v>53</v>
      </c>
      <c r="C398" s="221">
        <v>6432</v>
      </c>
      <c r="D398" s="220" t="s">
        <v>81</v>
      </c>
      <c r="E398" s="61" t="s">
        <v>39</v>
      </c>
      <c r="F398" s="61" t="s">
        <v>62</v>
      </c>
      <c r="G398" s="61" t="s">
        <v>84</v>
      </c>
      <c r="H398" s="220">
        <v>15</v>
      </c>
      <c r="I398" s="290">
        <v>1</v>
      </c>
      <c r="J398" s="102">
        <f>ROUNDUP('Tarifa 2026'!J399*(1+Instructions!$AA$9),3)</f>
        <v>23.9</v>
      </c>
      <c r="K398" s="103">
        <f t="shared" si="35"/>
        <v>25.094999999999999</v>
      </c>
      <c r="L398" s="103" t="str">
        <f t="shared" si="36"/>
        <v>-</v>
      </c>
      <c r="M398" s="73"/>
      <c r="N398" s="74"/>
      <c r="O398"/>
      <c r="P398"/>
      <c r="Q398"/>
      <c r="R398"/>
    </row>
    <row r="399" spans="1:45" s="6" customFormat="1" ht="26.1" customHeight="1">
      <c r="A399" s="223"/>
      <c r="B399" s="222"/>
      <c r="C399" s="221"/>
      <c r="D399" s="220"/>
      <c r="E399" s="61" t="s">
        <v>39</v>
      </c>
      <c r="F399" s="61" t="s">
        <v>78</v>
      </c>
      <c r="G399" s="61" t="s">
        <v>84</v>
      </c>
      <c r="H399" s="220"/>
      <c r="I399" s="290"/>
      <c r="J399" s="102">
        <f>ROUNDUP('Tarifa 2026'!J400*(1+Instructions!$AA$9),3)</f>
        <v>26.3</v>
      </c>
      <c r="K399" s="103">
        <f t="shared" si="35"/>
        <v>27.614999999999998</v>
      </c>
      <c r="L399" s="103" t="str">
        <f t="shared" si="36"/>
        <v>-</v>
      </c>
      <c r="M399" s="73"/>
      <c r="N399" s="74"/>
      <c r="O399"/>
      <c r="P399"/>
      <c r="Q399"/>
      <c r="R399"/>
    </row>
    <row r="400" spans="1:45" s="6" customFormat="1" ht="26.1" customHeight="1">
      <c r="A400" s="310">
        <v>215</v>
      </c>
      <c r="B400" s="324" t="s">
        <v>53</v>
      </c>
      <c r="C400" s="325">
        <v>6433</v>
      </c>
      <c r="D400" s="313" t="s">
        <v>82</v>
      </c>
      <c r="E400" s="185" t="s">
        <v>41</v>
      </c>
      <c r="F400" s="185" t="s">
        <v>62</v>
      </c>
      <c r="G400" s="185" t="s">
        <v>84</v>
      </c>
      <c r="H400" s="313">
        <v>15</v>
      </c>
      <c r="I400" s="314">
        <v>1</v>
      </c>
      <c r="J400" s="168">
        <f>ROUNDUP('Tarifa 2026'!J401*(1+Instructions!$AA$9),3)</f>
        <v>23.9</v>
      </c>
      <c r="K400" s="187">
        <f t="shared" si="35"/>
        <v>25.094999999999999</v>
      </c>
      <c r="L400" s="187" t="str">
        <f t="shared" si="36"/>
        <v>-</v>
      </c>
      <c r="M400" s="73"/>
      <c r="N400" s="74"/>
      <c r="O400"/>
      <c r="P400"/>
      <c r="Q400"/>
      <c r="R400"/>
    </row>
    <row r="401" spans="1:45" s="6" customFormat="1" ht="26.1" customHeight="1">
      <c r="A401" s="310"/>
      <c r="B401" s="324"/>
      <c r="C401" s="325"/>
      <c r="D401" s="313"/>
      <c r="E401" s="185" t="s">
        <v>41</v>
      </c>
      <c r="F401" s="185" t="s">
        <v>78</v>
      </c>
      <c r="G401" s="185" t="s">
        <v>84</v>
      </c>
      <c r="H401" s="313"/>
      <c r="I401" s="314"/>
      <c r="J401" s="168">
        <f>ROUNDUP('Tarifa 2026'!J402*(1+Instructions!$AA$9),3)</f>
        <v>26.3</v>
      </c>
      <c r="K401" s="187">
        <f t="shared" si="35"/>
        <v>27.614999999999998</v>
      </c>
      <c r="L401" s="187" t="str">
        <f t="shared" si="36"/>
        <v>-</v>
      </c>
      <c r="M401" s="73"/>
      <c r="N401" s="74"/>
      <c r="O401"/>
      <c r="P401"/>
      <c r="Q401"/>
      <c r="R401"/>
    </row>
    <row r="402" spans="1:45" s="6" customFormat="1" ht="26.1" customHeight="1">
      <c r="A402" s="223">
        <v>216</v>
      </c>
      <c r="B402" s="332" t="s">
        <v>53</v>
      </c>
      <c r="C402" s="221">
        <v>6435</v>
      </c>
      <c r="D402" s="220" t="s">
        <v>46</v>
      </c>
      <c r="E402" s="61" t="s">
        <v>39</v>
      </c>
      <c r="F402" s="61" t="s">
        <v>62</v>
      </c>
      <c r="G402" s="61" t="s">
        <v>40</v>
      </c>
      <c r="H402" s="220">
        <v>15</v>
      </c>
      <c r="I402" s="290">
        <v>1</v>
      </c>
      <c r="J402" s="102">
        <f>ROUNDUP('Tarifa 2026'!J403*(1+Instructions!$AA$9),3)</f>
        <v>27.8</v>
      </c>
      <c r="K402" s="103">
        <f t="shared" si="35"/>
        <v>29.19</v>
      </c>
      <c r="L402" s="103" t="str">
        <f t="shared" si="36"/>
        <v>-</v>
      </c>
      <c r="M402" s="73"/>
      <c r="N402" s="74"/>
      <c r="O402"/>
      <c r="P402"/>
      <c r="Q402"/>
      <c r="R402"/>
    </row>
    <row r="403" spans="1:45" ht="26.1" customHeight="1">
      <c r="A403" s="223"/>
      <c r="B403" s="332"/>
      <c r="C403" s="221"/>
      <c r="D403" s="220"/>
      <c r="E403" s="61" t="s">
        <v>39</v>
      </c>
      <c r="F403" s="61" t="s">
        <v>78</v>
      </c>
      <c r="G403" s="61" t="s">
        <v>40</v>
      </c>
      <c r="H403" s="220"/>
      <c r="I403" s="290"/>
      <c r="J403" s="102">
        <f>ROUNDUP('Tarifa 2026'!J404*(1+Instructions!$AA$9),3)</f>
        <v>30.4</v>
      </c>
      <c r="K403" s="103">
        <f t="shared" si="35"/>
        <v>31.92</v>
      </c>
      <c r="L403" s="103" t="str">
        <f t="shared" si="36"/>
        <v>-</v>
      </c>
      <c r="M403" s="73"/>
      <c r="N403" s="74"/>
    </row>
    <row r="404" spans="1:45" ht="26.1" customHeight="1">
      <c r="A404" s="223"/>
      <c r="B404" s="332"/>
      <c r="C404" s="221"/>
      <c r="D404" s="220"/>
      <c r="E404" s="61" t="s">
        <v>39</v>
      </c>
      <c r="F404" s="61" t="s">
        <v>62</v>
      </c>
      <c r="G404" s="61" t="s">
        <v>105</v>
      </c>
      <c r="H404" s="220"/>
      <c r="I404" s="290"/>
      <c r="J404" s="102">
        <f>ROUNDUP('Tarifa 2026'!J405*(1+Instructions!$AA$9),3)</f>
        <v>30.2</v>
      </c>
      <c r="K404" s="103">
        <f t="shared" si="35"/>
        <v>31.71</v>
      </c>
      <c r="L404" s="103" t="str">
        <f t="shared" si="36"/>
        <v>-</v>
      </c>
      <c r="M404" s="73"/>
      <c r="N404" s="74"/>
    </row>
    <row r="405" spans="1:45" s="6" customFormat="1" ht="26.1" customHeight="1">
      <c r="A405" s="223"/>
      <c r="B405" s="332"/>
      <c r="C405" s="221"/>
      <c r="D405" s="220"/>
      <c r="E405" s="61" t="s">
        <v>39</v>
      </c>
      <c r="F405" s="61" t="s">
        <v>78</v>
      </c>
      <c r="G405" s="61" t="s">
        <v>105</v>
      </c>
      <c r="H405" s="220"/>
      <c r="I405" s="290"/>
      <c r="J405" s="102">
        <f>ROUNDUP('Tarifa 2026'!J406*(1+Instructions!$AA$9),3)</f>
        <v>30.2</v>
      </c>
      <c r="K405" s="103">
        <f t="shared" si="35"/>
        <v>31.71</v>
      </c>
      <c r="L405" s="103" t="str">
        <f t="shared" si="36"/>
        <v>-</v>
      </c>
      <c r="M405" s="73"/>
      <c r="N405" s="74"/>
      <c r="O405"/>
      <c r="P405"/>
      <c r="Q405"/>
      <c r="R405"/>
    </row>
    <row r="406" spans="1:45" s="6" customFormat="1" ht="26.1" customHeight="1">
      <c r="A406" s="310">
        <v>216</v>
      </c>
      <c r="B406" s="324" t="s">
        <v>53</v>
      </c>
      <c r="C406" s="325">
        <v>6428</v>
      </c>
      <c r="D406" s="313" t="s">
        <v>97</v>
      </c>
      <c r="E406" s="185" t="s">
        <v>39</v>
      </c>
      <c r="F406" s="185" t="s">
        <v>80</v>
      </c>
      <c r="G406" s="185" t="s">
        <v>40</v>
      </c>
      <c r="H406" s="313">
        <v>15</v>
      </c>
      <c r="I406" s="326">
        <v>1</v>
      </c>
      <c r="J406" s="168">
        <f>ROUNDUP('Tarifa 2026'!J407*(1+Instructions!$AA$9),3)</f>
        <v>31.9</v>
      </c>
      <c r="K406" s="187">
        <f t="shared" si="35"/>
        <v>33.494999999999997</v>
      </c>
      <c r="L406" s="187" t="str">
        <f t="shared" si="36"/>
        <v>-</v>
      </c>
      <c r="M406" s="73"/>
      <c r="N406" s="74"/>
      <c r="O406"/>
      <c r="P406"/>
      <c r="Q406"/>
      <c r="R406"/>
    </row>
    <row r="407" spans="1:45" s="6" customFormat="1" ht="26.1" customHeight="1">
      <c r="A407" s="310"/>
      <c r="B407" s="324"/>
      <c r="C407" s="325"/>
      <c r="D407" s="313"/>
      <c r="E407" s="185" t="s">
        <v>39</v>
      </c>
      <c r="F407" s="185" t="s">
        <v>78</v>
      </c>
      <c r="G407" s="185" t="s">
        <v>40</v>
      </c>
      <c r="H407" s="313"/>
      <c r="I407" s="326"/>
      <c r="J407" s="168">
        <f>ROUNDUP('Tarifa 2026'!J408*(1+Instructions!$AA$9),3)</f>
        <v>33.9</v>
      </c>
      <c r="K407" s="187">
        <f t="shared" si="35"/>
        <v>35.594999999999999</v>
      </c>
      <c r="L407" s="187" t="str">
        <f t="shared" si="36"/>
        <v>-</v>
      </c>
      <c r="M407" s="73"/>
      <c r="N407" s="74"/>
      <c r="O407"/>
      <c r="P407"/>
      <c r="Q407"/>
      <c r="R407"/>
    </row>
    <row r="408" spans="1:45" s="6" customFormat="1" ht="26.1" customHeight="1">
      <c r="A408" s="223">
        <v>219</v>
      </c>
      <c r="B408" s="222" t="s">
        <v>53</v>
      </c>
      <c r="C408" s="221">
        <v>5090</v>
      </c>
      <c r="D408" s="220" t="s">
        <v>69</v>
      </c>
      <c r="E408" s="61" t="s">
        <v>39</v>
      </c>
      <c r="F408" s="61" t="s">
        <v>62</v>
      </c>
      <c r="G408" s="61" t="s">
        <v>40</v>
      </c>
      <c r="H408" s="220">
        <v>10</v>
      </c>
      <c r="I408" s="290">
        <v>1</v>
      </c>
      <c r="J408" s="102">
        <f>ROUNDUP('Tarifa 2026'!J409*(1+Instructions!$AA$9),3)</f>
        <v>27</v>
      </c>
      <c r="K408" s="103">
        <f t="shared" si="35"/>
        <v>28.35</v>
      </c>
      <c r="L408" s="103" t="str">
        <f t="shared" si="36"/>
        <v>-</v>
      </c>
      <c r="M408" s="73"/>
      <c r="N408" s="74"/>
      <c r="O408"/>
      <c r="P408"/>
      <c r="Q408"/>
      <c r="R408"/>
    </row>
    <row r="409" spans="1:45" ht="26.1" customHeight="1">
      <c r="A409" s="223"/>
      <c r="B409" s="222"/>
      <c r="C409" s="221"/>
      <c r="D409" s="220"/>
      <c r="E409" s="61" t="s">
        <v>39</v>
      </c>
      <c r="F409" s="61" t="s">
        <v>78</v>
      </c>
      <c r="G409" s="61" t="s">
        <v>40</v>
      </c>
      <c r="H409" s="220"/>
      <c r="I409" s="290"/>
      <c r="J409" s="102">
        <f>ROUNDUP('Tarifa 2026'!J410*(1+Instructions!$AA$9),3)</f>
        <v>30</v>
      </c>
      <c r="K409" s="103">
        <f t="shared" si="35"/>
        <v>31.5</v>
      </c>
      <c r="L409" s="103" t="str">
        <f t="shared" si="36"/>
        <v>-</v>
      </c>
      <c r="M409" s="73"/>
      <c r="N409" s="74"/>
    </row>
    <row r="410" spans="1:45" ht="26.1" customHeight="1">
      <c r="A410" s="188">
        <v>219</v>
      </c>
      <c r="B410" s="183" t="s">
        <v>53</v>
      </c>
      <c r="C410" s="184">
        <v>5091</v>
      </c>
      <c r="D410" s="185" t="s">
        <v>70</v>
      </c>
      <c r="E410" s="185" t="s">
        <v>41</v>
      </c>
      <c r="F410" s="185" t="s">
        <v>62</v>
      </c>
      <c r="G410" s="185" t="s">
        <v>40</v>
      </c>
      <c r="H410" s="185">
        <v>10</v>
      </c>
      <c r="I410" s="191">
        <v>1</v>
      </c>
      <c r="J410" s="168">
        <f>ROUNDUP('Tarifa 2026'!J411*(1+Instructions!$AA$9),3)</f>
        <v>27</v>
      </c>
      <c r="K410" s="187">
        <f t="shared" si="35"/>
        <v>28.35</v>
      </c>
      <c r="L410" s="187" t="str">
        <f t="shared" si="36"/>
        <v>-</v>
      </c>
      <c r="M410" s="73"/>
      <c r="N410" s="74"/>
    </row>
    <row r="411" spans="1:45" ht="26.1" customHeight="1">
      <c r="A411" s="223">
        <v>219</v>
      </c>
      <c r="B411" s="222" t="s">
        <v>53</v>
      </c>
      <c r="C411" s="221">
        <v>5094</v>
      </c>
      <c r="D411" s="220" t="s">
        <v>94</v>
      </c>
      <c r="E411" s="61" t="s">
        <v>39</v>
      </c>
      <c r="F411" s="61" t="s">
        <v>62</v>
      </c>
      <c r="G411" s="61" t="s">
        <v>40</v>
      </c>
      <c r="H411" s="220">
        <v>10</v>
      </c>
      <c r="I411" s="290">
        <v>1</v>
      </c>
      <c r="J411" s="102">
        <f>ROUNDUP('Tarifa 2026'!J412*(1+Instructions!$AA$9),3)</f>
        <v>25.8</v>
      </c>
      <c r="K411" s="103">
        <f t="shared" si="35"/>
        <v>27.09</v>
      </c>
      <c r="L411" s="103" t="str">
        <f t="shared" si="36"/>
        <v>-</v>
      </c>
      <c r="M411" s="73"/>
      <c r="N411" s="74"/>
    </row>
    <row r="412" spans="1:45" ht="26.1" customHeight="1">
      <c r="A412" s="223"/>
      <c r="B412" s="222"/>
      <c r="C412" s="221"/>
      <c r="D412" s="220"/>
      <c r="E412" s="61" t="s">
        <v>39</v>
      </c>
      <c r="F412" s="61" t="s">
        <v>78</v>
      </c>
      <c r="G412" s="61" t="s">
        <v>40</v>
      </c>
      <c r="H412" s="220"/>
      <c r="I412" s="290"/>
      <c r="J412" s="102">
        <f>ROUNDUP('Tarifa 2026'!J413*(1+Instructions!$AA$9),3)</f>
        <v>28.4</v>
      </c>
      <c r="K412" s="103">
        <f t="shared" ref="K412:K436" si="41">IF(I412=1,(ROUNDUP((J412*0.05+J412),3)),ROUNDUP((J412*0.05+J412),3))</f>
        <v>29.82</v>
      </c>
      <c r="L412" s="103" t="str">
        <f t="shared" ref="L412:L434" si="42">IF(I412=1,"-",IF(AND(I412="",L410="-"),"-",ROUNDUP((J412*0.2)+J412,3)))</f>
        <v>-</v>
      </c>
      <c r="M412" s="73"/>
      <c r="N412" s="74"/>
    </row>
    <row r="413" spans="1:45" ht="26.1" customHeight="1">
      <c r="A413" s="223"/>
      <c r="B413" s="222"/>
      <c r="C413" s="221"/>
      <c r="D413" s="220"/>
      <c r="E413" s="61" t="s">
        <v>39</v>
      </c>
      <c r="F413" s="61" t="s">
        <v>62</v>
      </c>
      <c r="G413" s="61" t="s">
        <v>129</v>
      </c>
      <c r="H413" s="220"/>
      <c r="I413" s="290"/>
      <c r="J413" s="102">
        <f>ROUNDUP('Tarifa 2026'!J414*(1+Instructions!$AA$9),3)</f>
        <v>27.8</v>
      </c>
      <c r="K413" s="103">
        <f t="shared" si="41"/>
        <v>29.19</v>
      </c>
      <c r="L413" s="103" t="str">
        <f t="shared" si="42"/>
        <v>-</v>
      </c>
      <c r="M413" s="73"/>
      <c r="N413" s="74"/>
    </row>
    <row r="414" spans="1:45" s="6" customFormat="1" ht="26.1" customHeight="1">
      <c r="A414" s="223"/>
      <c r="B414" s="222"/>
      <c r="C414" s="221"/>
      <c r="D414" s="220"/>
      <c r="E414" s="61" t="s">
        <v>39</v>
      </c>
      <c r="F414" s="61" t="s">
        <v>78</v>
      </c>
      <c r="G414" s="61" t="s">
        <v>129</v>
      </c>
      <c r="H414" s="220"/>
      <c r="I414" s="290"/>
      <c r="J414" s="102">
        <f>ROUNDUP('Tarifa 2026'!J415*(1+Instructions!$AA$9),3)</f>
        <v>30.4</v>
      </c>
      <c r="K414" s="103">
        <f t="shared" si="41"/>
        <v>31.92</v>
      </c>
      <c r="L414" s="103" t="str">
        <f t="shared" si="42"/>
        <v>-</v>
      </c>
      <c r="M414" s="73"/>
      <c r="N414" s="74"/>
      <c r="O414"/>
      <c r="P414"/>
      <c r="Q414"/>
      <c r="R414"/>
      <c r="S414"/>
      <c r="T414"/>
      <c r="U414"/>
      <c r="V414"/>
      <c r="W414"/>
      <c r="X414"/>
      <c r="Y414"/>
      <c r="Z414"/>
      <c r="AA414"/>
      <c r="AB414"/>
      <c r="AC414"/>
      <c r="AD414"/>
      <c r="AE414"/>
      <c r="AF414"/>
      <c r="AG414"/>
      <c r="AH414"/>
      <c r="AI414"/>
      <c r="AJ414"/>
      <c r="AK414"/>
      <c r="AL414"/>
      <c r="AM414"/>
      <c r="AN414"/>
      <c r="AO414"/>
      <c r="AP414"/>
      <c r="AQ414"/>
      <c r="AR414"/>
      <c r="AS414"/>
    </row>
    <row r="415" spans="1:45" s="6" customFormat="1" ht="26.1" customHeight="1">
      <c r="A415" s="188">
        <v>219</v>
      </c>
      <c r="B415" s="183" t="s">
        <v>53</v>
      </c>
      <c r="C415" s="184">
        <v>5095</v>
      </c>
      <c r="D415" s="185" t="s">
        <v>98</v>
      </c>
      <c r="E415" s="185" t="s">
        <v>41</v>
      </c>
      <c r="F415" s="185" t="s">
        <v>62</v>
      </c>
      <c r="G415" s="185" t="s">
        <v>40</v>
      </c>
      <c r="H415" s="185">
        <v>10</v>
      </c>
      <c r="I415" s="191">
        <v>1</v>
      </c>
      <c r="J415" s="168">
        <f>ROUNDUP('Tarifa 2026'!J416*(1+Instructions!$AA$9),3)</f>
        <v>25.8</v>
      </c>
      <c r="K415" s="187">
        <f t="shared" si="41"/>
        <v>27.09</v>
      </c>
      <c r="L415" s="187" t="str">
        <f t="shared" si="42"/>
        <v>-</v>
      </c>
      <c r="M415" s="73"/>
      <c r="N415" s="74"/>
      <c r="O415"/>
      <c r="P415"/>
      <c r="Q415"/>
      <c r="R415"/>
      <c r="S415"/>
      <c r="T415"/>
      <c r="U415"/>
      <c r="V415"/>
      <c r="W415"/>
      <c r="X415"/>
      <c r="Y415"/>
      <c r="Z415"/>
      <c r="AA415"/>
      <c r="AB415"/>
      <c r="AC415"/>
      <c r="AD415"/>
      <c r="AE415"/>
      <c r="AF415"/>
      <c r="AG415"/>
      <c r="AH415"/>
      <c r="AI415"/>
      <c r="AJ415"/>
      <c r="AK415"/>
      <c r="AL415"/>
      <c r="AM415"/>
      <c r="AN415"/>
      <c r="AO415"/>
      <c r="AP415"/>
      <c r="AQ415"/>
      <c r="AR415"/>
      <c r="AS415"/>
    </row>
    <row r="416" spans="1:45" s="6" customFormat="1" ht="26.1" customHeight="1">
      <c r="A416" s="223">
        <v>220</v>
      </c>
      <c r="B416" s="332" t="s">
        <v>53</v>
      </c>
      <c r="C416" s="221">
        <v>5079</v>
      </c>
      <c r="D416" s="220" t="s">
        <v>123</v>
      </c>
      <c r="E416" s="61" t="s">
        <v>39</v>
      </c>
      <c r="F416" s="61" t="s">
        <v>62</v>
      </c>
      <c r="G416" s="61" t="s">
        <v>101</v>
      </c>
      <c r="H416" s="220">
        <v>10</v>
      </c>
      <c r="I416" s="290">
        <v>1</v>
      </c>
      <c r="J416" s="102">
        <f>ROUNDUP('Tarifa 2026'!J417*(1+Instructions!$AA$9),3)</f>
        <v>23.9</v>
      </c>
      <c r="K416" s="103">
        <f t="shared" si="41"/>
        <v>25.094999999999999</v>
      </c>
      <c r="L416" s="103" t="str">
        <f t="shared" si="42"/>
        <v>-</v>
      </c>
      <c r="M416" s="73"/>
      <c r="N416" s="74"/>
      <c r="O416"/>
      <c r="P416"/>
      <c r="Q416"/>
      <c r="R416"/>
      <c r="S416"/>
      <c r="T416"/>
      <c r="U416"/>
      <c r="V416"/>
      <c r="W416"/>
      <c r="X416"/>
      <c r="Y416"/>
      <c r="Z416"/>
      <c r="AA416"/>
      <c r="AB416"/>
      <c r="AC416"/>
      <c r="AD416"/>
      <c r="AE416"/>
      <c r="AF416"/>
      <c r="AG416"/>
      <c r="AH416"/>
      <c r="AI416"/>
      <c r="AJ416"/>
      <c r="AK416"/>
      <c r="AL416"/>
      <c r="AM416"/>
      <c r="AN416"/>
      <c r="AO416"/>
      <c r="AP416"/>
      <c r="AQ416"/>
      <c r="AR416"/>
      <c r="AS416"/>
    </row>
    <row r="417" spans="1:18" s="6" customFormat="1" ht="26.1" customHeight="1">
      <c r="A417" s="223"/>
      <c r="B417" s="332"/>
      <c r="C417" s="221"/>
      <c r="D417" s="220"/>
      <c r="E417" s="61" t="s">
        <v>39</v>
      </c>
      <c r="F417" s="61" t="s">
        <v>78</v>
      </c>
      <c r="G417" s="61" t="s">
        <v>101</v>
      </c>
      <c r="H417" s="220"/>
      <c r="I417" s="290"/>
      <c r="J417" s="102">
        <f>ROUNDUP('Tarifa 2026'!J418*(1+Instructions!$AA$9),3)</f>
        <v>25.8</v>
      </c>
      <c r="K417" s="103">
        <f t="shared" si="41"/>
        <v>27.09</v>
      </c>
      <c r="L417" s="103" t="str">
        <f t="shared" si="42"/>
        <v>-</v>
      </c>
      <c r="M417" s="73"/>
      <c r="N417" s="74"/>
      <c r="O417"/>
      <c r="P417"/>
      <c r="Q417"/>
      <c r="R417"/>
    </row>
    <row r="418" spans="1:18" s="6" customFormat="1" ht="26.1" customHeight="1">
      <c r="A418" s="188">
        <v>220</v>
      </c>
      <c r="B418" s="183" t="s">
        <v>53</v>
      </c>
      <c r="C418" s="184">
        <v>1120</v>
      </c>
      <c r="D418" s="185" t="s">
        <v>110</v>
      </c>
      <c r="E418" s="185" t="s">
        <v>39</v>
      </c>
      <c r="F418" s="185" t="s">
        <v>64</v>
      </c>
      <c r="G418" s="185" t="s">
        <v>40</v>
      </c>
      <c r="H418" s="185">
        <v>10</v>
      </c>
      <c r="I418" s="191">
        <v>1</v>
      </c>
      <c r="J418" s="168">
        <f>ROUNDUP('Tarifa 2026'!J419*(1+Instructions!$AA$9),3)</f>
        <v>25.8</v>
      </c>
      <c r="K418" s="187">
        <f t="shared" si="41"/>
        <v>27.09</v>
      </c>
      <c r="L418" s="187" t="str">
        <f t="shared" si="42"/>
        <v>-</v>
      </c>
      <c r="M418" s="73"/>
      <c r="N418" s="74"/>
      <c r="O418"/>
      <c r="P418"/>
      <c r="Q418"/>
      <c r="R418"/>
    </row>
    <row r="419" spans="1:18" s="6" customFormat="1" ht="26.1" customHeight="1">
      <c r="A419" s="63">
        <v>220</v>
      </c>
      <c r="B419" s="66" t="s">
        <v>53</v>
      </c>
      <c r="C419" s="60" t="s">
        <v>126</v>
      </c>
      <c r="D419" s="61" t="s">
        <v>127</v>
      </c>
      <c r="E419" s="61" t="s">
        <v>39</v>
      </c>
      <c r="F419" s="61" t="s">
        <v>64</v>
      </c>
      <c r="G419" s="61" t="s">
        <v>40</v>
      </c>
      <c r="H419" s="61">
        <v>10</v>
      </c>
      <c r="I419" s="83">
        <v>1</v>
      </c>
      <c r="J419" s="102">
        <f>ROUNDUP('Tarifa 2026'!J420*(1+Instructions!$AA$9),3)</f>
        <v>39.9</v>
      </c>
      <c r="K419" s="103">
        <f t="shared" si="41"/>
        <v>41.895000000000003</v>
      </c>
      <c r="L419" s="103" t="str">
        <f t="shared" si="42"/>
        <v>-</v>
      </c>
      <c r="M419" s="73"/>
      <c r="N419" s="74"/>
      <c r="O419"/>
      <c r="P419"/>
      <c r="Q419"/>
      <c r="R419"/>
    </row>
    <row r="420" spans="1:18" s="6" customFormat="1" ht="26.1" customHeight="1">
      <c r="A420" s="310">
        <v>222</v>
      </c>
      <c r="B420" s="324" t="s">
        <v>53</v>
      </c>
      <c r="C420" s="325">
        <v>1108</v>
      </c>
      <c r="D420" s="313" t="s">
        <v>68</v>
      </c>
      <c r="E420" s="185" t="s">
        <v>39</v>
      </c>
      <c r="F420" s="185" t="s">
        <v>62</v>
      </c>
      <c r="G420" s="185" t="s">
        <v>40</v>
      </c>
      <c r="H420" s="313">
        <v>10</v>
      </c>
      <c r="I420" s="326">
        <v>1</v>
      </c>
      <c r="J420" s="168">
        <f>ROUNDUP('Tarifa 2026'!J421*(1+Instructions!$AA$9),3)</f>
        <v>25.9</v>
      </c>
      <c r="K420" s="187">
        <f t="shared" si="41"/>
        <v>27.195</v>
      </c>
      <c r="L420" s="187" t="str">
        <f t="shared" si="42"/>
        <v>-</v>
      </c>
      <c r="M420" s="73"/>
      <c r="N420" s="74"/>
      <c r="O420"/>
      <c r="P420"/>
      <c r="Q420"/>
      <c r="R420"/>
    </row>
    <row r="421" spans="1:18" ht="26.1" customHeight="1">
      <c r="A421" s="310"/>
      <c r="B421" s="324"/>
      <c r="C421" s="325"/>
      <c r="D421" s="313"/>
      <c r="E421" s="185" t="s">
        <v>39</v>
      </c>
      <c r="F421" s="185" t="s">
        <v>78</v>
      </c>
      <c r="G421" s="185" t="s">
        <v>40</v>
      </c>
      <c r="H421" s="313"/>
      <c r="I421" s="326"/>
      <c r="J421" s="168">
        <f>ROUNDUP('Tarifa 2026'!J422*(1+Instructions!$AA$9),3)</f>
        <v>27.8</v>
      </c>
      <c r="K421" s="187">
        <f t="shared" si="41"/>
        <v>29.19</v>
      </c>
      <c r="L421" s="187" t="str">
        <f t="shared" si="42"/>
        <v>-</v>
      </c>
      <c r="M421" s="73"/>
      <c r="N421" s="74"/>
    </row>
    <row r="422" spans="1:18" ht="26.1" customHeight="1">
      <c r="A422" s="333">
        <v>222</v>
      </c>
      <c r="B422" s="255" t="s">
        <v>164</v>
      </c>
      <c r="C422" s="334" t="s">
        <v>330</v>
      </c>
      <c r="D422" s="257" t="s">
        <v>331</v>
      </c>
      <c r="E422" s="112" t="s">
        <v>39</v>
      </c>
      <c r="F422" s="112" t="s">
        <v>80</v>
      </c>
      <c r="G422" s="112" t="s">
        <v>40</v>
      </c>
      <c r="H422" s="257">
        <v>10</v>
      </c>
      <c r="I422" s="335">
        <v>1</v>
      </c>
      <c r="J422" s="102">
        <f>ROUNDUP('Tarifa 2026'!J423*(1+Instructions!$AA$9),3)</f>
        <v>49.9</v>
      </c>
      <c r="K422" s="103">
        <f t="shared" si="41"/>
        <v>52.395000000000003</v>
      </c>
      <c r="L422" s="103" t="str">
        <f t="shared" si="42"/>
        <v>-</v>
      </c>
      <c r="M422" s="73"/>
      <c r="N422" s="74"/>
    </row>
    <row r="423" spans="1:18" ht="26.1" customHeight="1">
      <c r="A423" s="333"/>
      <c r="B423" s="255"/>
      <c r="C423" s="334"/>
      <c r="D423" s="257"/>
      <c r="E423" s="112" t="s">
        <v>39</v>
      </c>
      <c r="F423" s="112" t="s">
        <v>78</v>
      </c>
      <c r="G423" s="112" t="s">
        <v>40</v>
      </c>
      <c r="H423" s="257"/>
      <c r="I423" s="335"/>
      <c r="J423" s="102">
        <f>ROUNDUP('Tarifa 2026'!J424*(1+Instructions!$AA$9),3)</f>
        <v>51.9</v>
      </c>
      <c r="K423" s="103">
        <f t="shared" si="41"/>
        <v>54.494999999999997</v>
      </c>
      <c r="L423" s="103" t="str">
        <f t="shared" si="42"/>
        <v>-</v>
      </c>
      <c r="M423" s="73"/>
      <c r="N423" s="74"/>
    </row>
    <row r="424" spans="1:18" s="6" customFormat="1" ht="26.1" customHeight="1">
      <c r="A424" s="333"/>
      <c r="B424" s="255"/>
      <c r="C424" s="334"/>
      <c r="D424" s="257"/>
      <c r="E424" s="112" t="s">
        <v>39</v>
      </c>
      <c r="F424" s="112" t="s">
        <v>79</v>
      </c>
      <c r="G424" s="112" t="s">
        <v>40</v>
      </c>
      <c r="H424" s="257"/>
      <c r="I424" s="335"/>
      <c r="J424" s="102">
        <f>ROUNDUP('Tarifa 2026'!J425*(1+Instructions!$AA$9),3)</f>
        <v>53</v>
      </c>
      <c r="K424" s="103">
        <f t="shared" si="41"/>
        <v>55.65</v>
      </c>
      <c r="L424" s="103" t="str">
        <f t="shared" si="42"/>
        <v>-</v>
      </c>
      <c r="M424" s="73"/>
      <c r="N424" s="74"/>
      <c r="O424"/>
      <c r="P424"/>
      <c r="Q424"/>
      <c r="R424"/>
    </row>
    <row r="425" spans="1:18" s="6" customFormat="1" ht="26.1" customHeight="1">
      <c r="A425" s="336">
        <v>223</v>
      </c>
      <c r="B425" s="337" t="s">
        <v>164</v>
      </c>
      <c r="C425" s="338" t="s">
        <v>332</v>
      </c>
      <c r="D425" s="339" t="s">
        <v>333</v>
      </c>
      <c r="E425" s="192" t="s">
        <v>107</v>
      </c>
      <c r="F425" s="192" t="s">
        <v>80</v>
      </c>
      <c r="G425" s="192" t="s">
        <v>40</v>
      </c>
      <c r="H425" s="339">
        <v>10</v>
      </c>
      <c r="I425" s="340">
        <v>1</v>
      </c>
      <c r="J425" s="168">
        <f>ROUNDUP('Tarifa 2026'!J426*(1+Instructions!$AA$9),3)</f>
        <v>39.9</v>
      </c>
      <c r="K425" s="187">
        <f t="shared" si="41"/>
        <v>41.895000000000003</v>
      </c>
      <c r="L425" s="187" t="str">
        <f t="shared" si="42"/>
        <v>-</v>
      </c>
      <c r="M425" s="73"/>
      <c r="N425" s="74"/>
      <c r="O425"/>
      <c r="P425"/>
      <c r="Q425"/>
      <c r="R425"/>
    </row>
    <row r="426" spans="1:18" s="6" customFormat="1" ht="26.1" customHeight="1">
      <c r="A426" s="336"/>
      <c r="B426" s="337"/>
      <c r="C426" s="338"/>
      <c r="D426" s="339"/>
      <c r="E426" s="192" t="s">
        <v>107</v>
      </c>
      <c r="F426" s="192" t="s">
        <v>78</v>
      </c>
      <c r="G426" s="192" t="s">
        <v>40</v>
      </c>
      <c r="H426" s="339"/>
      <c r="I426" s="340"/>
      <c r="J426" s="168">
        <f>ROUNDUP('Tarifa 2026'!J427*(1+Instructions!$AA$9),3)</f>
        <v>41.9</v>
      </c>
      <c r="K426" s="187">
        <f t="shared" si="41"/>
        <v>43.994999999999997</v>
      </c>
      <c r="L426" s="187" t="str">
        <f t="shared" si="42"/>
        <v>-</v>
      </c>
      <c r="M426" s="73"/>
      <c r="N426" s="74"/>
      <c r="O426"/>
      <c r="P426"/>
      <c r="Q426"/>
      <c r="R426"/>
    </row>
    <row r="427" spans="1:18" s="6" customFormat="1" ht="26.1" customHeight="1">
      <c r="A427" s="336"/>
      <c r="B427" s="337"/>
      <c r="C427" s="338"/>
      <c r="D427" s="339"/>
      <c r="E427" s="192" t="s">
        <v>107</v>
      </c>
      <c r="F427" s="192" t="s">
        <v>79</v>
      </c>
      <c r="G427" s="192" t="s">
        <v>40</v>
      </c>
      <c r="H427" s="339"/>
      <c r="I427" s="340"/>
      <c r="J427" s="168">
        <f>ROUNDUP('Tarifa 2026'!J428*(1+Instructions!$AA$9),3)</f>
        <v>43.9</v>
      </c>
      <c r="K427" s="187">
        <f t="shared" si="41"/>
        <v>46.094999999999999</v>
      </c>
      <c r="L427" s="187" t="str">
        <f t="shared" si="42"/>
        <v>-</v>
      </c>
      <c r="M427" s="73"/>
      <c r="N427" s="74"/>
      <c r="O427"/>
      <c r="P427"/>
      <c r="Q427"/>
      <c r="R427"/>
    </row>
    <row r="428" spans="1:18" s="6" customFormat="1" ht="26.1" customHeight="1">
      <c r="A428" s="223">
        <v>224</v>
      </c>
      <c r="B428" s="330" t="s">
        <v>53</v>
      </c>
      <c r="C428" s="221">
        <v>5072</v>
      </c>
      <c r="D428" s="220" t="s">
        <v>167</v>
      </c>
      <c r="E428" s="61" t="s">
        <v>39</v>
      </c>
      <c r="F428" s="61" t="s">
        <v>62</v>
      </c>
      <c r="G428" s="61" t="s">
        <v>40</v>
      </c>
      <c r="H428" s="220">
        <v>10</v>
      </c>
      <c r="I428" s="290">
        <v>1</v>
      </c>
      <c r="J428" s="102">
        <f>ROUNDUP('Tarifa 2026'!J429*(1+Instructions!$AA$9),3)</f>
        <v>31.5</v>
      </c>
      <c r="K428" s="103">
        <f t="shared" si="41"/>
        <v>33.075000000000003</v>
      </c>
      <c r="L428" s="103" t="str">
        <f t="shared" si="42"/>
        <v>-</v>
      </c>
      <c r="M428" s="73"/>
      <c r="N428" s="74"/>
      <c r="O428"/>
      <c r="P428"/>
      <c r="Q428"/>
      <c r="R428"/>
    </row>
    <row r="429" spans="1:18" ht="26.1" customHeight="1">
      <c r="A429" s="223"/>
      <c r="B429" s="330"/>
      <c r="C429" s="221"/>
      <c r="D429" s="220"/>
      <c r="E429" s="61" t="s">
        <v>39</v>
      </c>
      <c r="F429" s="61" t="s">
        <v>78</v>
      </c>
      <c r="G429" s="61" t="s">
        <v>40</v>
      </c>
      <c r="H429" s="220"/>
      <c r="I429" s="290"/>
      <c r="J429" s="102">
        <f>ROUNDUP('Tarifa 2026'!J430*(1+Instructions!$AA$9),3)</f>
        <v>33</v>
      </c>
      <c r="K429" s="103">
        <f t="shared" si="41"/>
        <v>34.65</v>
      </c>
      <c r="L429" s="103" t="str">
        <f t="shared" si="42"/>
        <v>-</v>
      </c>
      <c r="M429" s="73"/>
      <c r="N429" s="74"/>
    </row>
    <row r="430" spans="1:18" ht="26.1" customHeight="1">
      <c r="A430" s="310">
        <v>224</v>
      </c>
      <c r="B430" s="342" t="s">
        <v>53</v>
      </c>
      <c r="C430" s="312" t="s">
        <v>165</v>
      </c>
      <c r="D430" s="313" t="s">
        <v>166</v>
      </c>
      <c r="E430" s="185" t="s">
        <v>41</v>
      </c>
      <c r="F430" s="185" t="s">
        <v>62</v>
      </c>
      <c r="G430" s="185" t="s">
        <v>40</v>
      </c>
      <c r="H430" s="313">
        <v>10</v>
      </c>
      <c r="I430" s="326">
        <v>1</v>
      </c>
      <c r="J430" s="168">
        <f>ROUNDUP('Tarifa 2026'!J431*(1+Instructions!$AA$9),3)</f>
        <v>31.5</v>
      </c>
      <c r="K430" s="187">
        <f t="shared" si="41"/>
        <v>33.075000000000003</v>
      </c>
      <c r="L430" s="187" t="str">
        <f t="shared" si="42"/>
        <v>-</v>
      </c>
      <c r="M430" s="73"/>
      <c r="N430" s="74"/>
    </row>
    <row r="431" spans="1:18" ht="26.1" customHeight="1">
      <c r="A431" s="310"/>
      <c r="B431" s="342"/>
      <c r="C431" s="312"/>
      <c r="D431" s="313"/>
      <c r="E431" s="185" t="s">
        <v>41</v>
      </c>
      <c r="F431" s="185" t="s">
        <v>78</v>
      </c>
      <c r="G431" s="185" t="s">
        <v>40</v>
      </c>
      <c r="H431" s="313"/>
      <c r="I431" s="326"/>
      <c r="J431" s="168">
        <f>ROUNDUP('Tarifa 2026'!J432*(1+Instructions!$AA$9),3)</f>
        <v>33</v>
      </c>
      <c r="K431" s="187">
        <f t="shared" si="41"/>
        <v>34.65</v>
      </c>
      <c r="L431" s="187" t="str">
        <f t="shared" si="42"/>
        <v>-</v>
      </c>
      <c r="M431" s="73"/>
      <c r="N431" s="74"/>
    </row>
    <row r="432" spans="1:18" s="6" customFormat="1" ht="26.1" customHeight="1">
      <c r="A432" s="63">
        <v>227</v>
      </c>
      <c r="B432" s="64" t="s">
        <v>53</v>
      </c>
      <c r="C432" s="161">
        <v>5201</v>
      </c>
      <c r="D432" s="61" t="s">
        <v>124</v>
      </c>
      <c r="E432" s="61" t="s">
        <v>39</v>
      </c>
      <c r="F432" s="61" t="s">
        <v>64</v>
      </c>
      <c r="G432" s="61" t="s">
        <v>101</v>
      </c>
      <c r="H432" s="61">
        <v>10</v>
      </c>
      <c r="I432" s="65">
        <v>1</v>
      </c>
      <c r="J432" s="102">
        <f>ROUNDUP('Tarifa 2026'!J433*(1+Instructions!$AA$9),3)</f>
        <v>58</v>
      </c>
      <c r="K432" s="103">
        <f t="shared" si="41"/>
        <v>60.9</v>
      </c>
      <c r="L432" s="103" t="str">
        <f t="shared" si="42"/>
        <v>-</v>
      </c>
      <c r="M432" s="73"/>
      <c r="N432" s="74"/>
      <c r="O432"/>
      <c r="P432"/>
      <c r="Q432"/>
      <c r="R432"/>
    </row>
    <row r="433" spans="1:18" s="6" customFormat="1" ht="26.1" customHeight="1">
      <c r="A433" s="188">
        <v>227</v>
      </c>
      <c r="B433" s="210" t="s">
        <v>53</v>
      </c>
      <c r="C433" s="184">
        <v>5202</v>
      </c>
      <c r="D433" s="185" t="s">
        <v>125</v>
      </c>
      <c r="E433" s="185" t="s">
        <v>39</v>
      </c>
      <c r="F433" s="185" t="s">
        <v>64</v>
      </c>
      <c r="G433" s="185" t="s">
        <v>101</v>
      </c>
      <c r="H433" s="185">
        <v>10</v>
      </c>
      <c r="I433" s="191">
        <v>1</v>
      </c>
      <c r="J433" s="168">
        <f>ROUNDUP('Tarifa 2026'!J434*(1+Instructions!$AA$9),3)</f>
        <v>58</v>
      </c>
      <c r="K433" s="187">
        <f t="shared" si="41"/>
        <v>60.9</v>
      </c>
      <c r="L433" s="187" t="str">
        <f t="shared" si="42"/>
        <v>-</v>
      </c>
      <c r="M433" s="73"/>
      <c r="N433" s="74"/>
      <c r="O433"/>
      <c r="P433"/>
      <c r="Q433"/>
      <c r="R433"/>
    </row>
    <row r="434" spans="1:18" s="6" customFormat="1" ht="26.1" customHeight="1">
      <c r="A434" s="315">
        <v>143</v>
      </c>
      <c r="B434" s="330" t="s">
        <v>53</v>
      </c>
      <c r="C434" s="317">
        <v>5074</v>
      </c>
      <c r="D434" s="257" t="s">
        <v>459</v>
      </c>
      <c r="E434" s="112" t="s">
        <v>39</v>
      </c>
      <c r="F434" s="112" t="s">
        <v>62</v>
      </c>
      <c r="G434" s="112" t="s">
        <v>40</v>
      </c>
      <c r="H434" s="257">
        <v>50</v>
      </c>
      <c r="I434" s="331">
        <v>1</v>
      </c>
      <c r="J434" s="102">
        <f>ROUNDUP('Tarifa 2026'!J435*(1+Instructions!$AA$9),3)</f>
        <v>12.5</v>
      </c>
      <c r="K434" s="103">
        <f t="shared" si="41"/>
        <v>13.125</v>
      </c>
      <c r="L434" s="103" t="str">
        <f t="shared" si="42"/>
        <v>-</v>
      </c>
      <c r="M434" s="73"/>
      <c r="N434" s="74"/>
      <c r="O434"/>
      <c r="P434"/>
      <c r="Q434"/>
      <c r="R434"/>
    </row>
    <row r="435" spans="1:18" s="6" customFormat="1" ht="26.1" customHeight="1">
      <c r="A435" s="315"/>
      <c r="B435" s="330"/>
      <c r="C435" s="317"/>
      <c r="D435" s="257"/>
      <c r="E435" s="112" t="s">
        <v>39</v>
      </c>
      <c r="F435" s="112" t="s">
        <v>78</v>
      </c>
      <c r="G435" s="112" t="s">
        <v>40</v>
      </c>
      <c r="H435" s="257"/>
      <c r="I435" s="331"/>
      <c r="J435" s="102">
        <f>ROUNDUP('Tarifa 2026'!J436*(1+Instructions!$AA$9),3)</f>
        <v>13.2</v>
      </c>
      <c r="K435" s="103">
        <f t="shared" ref="K435" si="43">IF(I435=1,(ROUNDUP((J435*0.05+J435),3)),ROUNDUP((J435*0.05+J435),3))</f>
        <v>13.86</v>
      </c>
      <c r="L435" s="103" t="str">
        <f t="shared" ref="L435" si="44">IF(I435=1,"-",IF(AND(I435="",L433="-"),"-",ROUNDUP((J435*0.2)+J435,3)))</f>
        <v>-</v>
      </c>
      <c r="M435" s="73"/>
      <c r="N435" s="74"/>
      <c r="O435"/>
      <c r="P435"/>
      <c r="Q435"/>
      <c r="R435"/>
    </row>
    <row r="436" spans="1:18" s="6" customFormat="1" ht="26.1" customHeight="1">
      <c r="A436" s="310">
        <v>228</v>
      </c>
      <c r="B436" s="324" t="s">
        <v>53</v>
      </c>
      <c r="C436" s="325">
        <v>5200</v>
      </c>
      <c r="D436" s="313" t="s">
        <v>73</v>
      </c>
      <c r="E436" s="185" t="s">
        <v>39</v>
      </c>
      <c r="F436" s="185" t="s">
        <v>62</v>
      </c>
      <c r="G436" s="185" t="s">
        <v>40</v>
      </c>
      <c r="H436" s="313">
        <v>50</v>
      </c>
      <c r="I436" s="326">
        <v>1</v>
      </c>
      <c r="J436" s="168">
        <f>ROUNDUP('Tarifa 2026'!J437*(1+Instructions!$AA$9),3)</f>
        <v>12.5</v>
      </c>
      <c r="K436" s="187">
        <f t="shared" si="41"/>
        <v>13.125</v>
      </c>
      <c r="L436" s="187" t="str">
        <f>IF(I436=1,"-",IF(AND(I436="",L433="-"),"-",ROUNDUP((J436*0.2)+J436,3)))</f>
        <v>-</v>
      </c>
      <c r="M436" s="73"/>
      <c r="N436" s="74"/>
      <c r="O436"/>
      <c r="P436"/>
      <c r="Q436"/>
      <c r="R436"/>
    </row>
    <row r="437" spans="1:18" s="6" customFormat="1" ht="26.1" customHeight="1">
      <c r="A437" s="310"/>
      <c r="B437" s="324"/>
      <c r="C437" s="325"/>
      <c r="D437" s="313"/>
      <c r="E437" s="185" t="s">
        <v>39</v>
      </c>
      <c r="F437" s="185" t="s">
        <v>78</v>
      </c>
      <c r="G437" s="185" t="s">
        <v>40</v>
      </c>
      <c r="H437" s="313"/>
      <c r="I437" s="326"/>
      <c r="J437" s="168">
        <f>ROUNDUP('Tarifa 2026'!J438*(1+Instructions!$AA$9),3)</f>
        <v>13.2</v>
      </c>
      <c r="K437" s="187">
        <f t="shared" ref="K437" si="45">IF(I437=1,(ROUNDUP((J437*0.05+J437),3)),ROUNDUP((J437*0.05+J437),3))</f>
        <v>13.86</v>
      </c>
      <c r="L437" s="187" t="str">
        <f t="shared" ref="L437" si="46">IF(I437=1,"-",IF(AND(I437="",L434="-"),"-",ROUNDUP((J437*0.2)+J437,3)))</f>
        <v>-</v>
      </c>
      <c r="M437" s="73"/>
      <c r="N437" s="74"/>
      <c r="O437"/>
      <c r="P437"/>
      <c r="Q437"/>
      <c r="R437"/>
    </row>
    <row r="438" spans="1:18" s="6" customFormat="1" ht="26.1" customHeight="1">
      <c r="A438" s="63">
        <v>230</v>
      </c>
      <c r="B438" s="211" t="s">
        <v>53</v>
      </c>
      <c r="C438" s="60" t="s">
        <v>38</v>
      </c>
      <c r="D438" s="61" t="s">
        <v>37</v>
      </c>
      <c r="E438" s="61" t="s">
        <v>41</v>
      </c>
      <c r="F438" s="61" t="s">
        <v>62</v>
      </c>
      <c r="G438" s="61" t="s">
        <v>84</v>
      </c>
      <c r="H438" s="61">
        <v>50</v>
      </c>
      <c r="I438" s="83">
        <v>1</v>
      </c>
      <c r="J438" s="102">
        <f>ROUNDUP('Tarifa 2026'!J439*(1+Instructions!$AA$9),3)</f>
        <v>12.6</v>
      </c>
      <c r="K438" s="103">
        <f t="shared" ref="K438:K444" si="47">IF(I438=1,(ROUNDUP((J438*0.05+J438),3)),ROUNDUP((J438*0.05+J438),3))</f>
        <v>13.23</v>
      </c>
      <c r="L438" s="103" t="str">
        <f>IF(I438=1,"-",IF(AND(I438="",L434="-"),"-",ROUNDUP((J438*0.2)+J438,3)))</f>
        <v>-</v>
      </c>
      <c r="M438" s="73"/>
      <c r="N438" s="74"/>
      <c r="O438"/>
      <c r="P438"/>
      <c r="Q438"/>
      <c r="R438"/>
    </row>
    <row r="439" spans="1:18" s="6" customFormat="1" ht="26.1" customHeight="1">
      <c r="A439" s="310">
        <v>230</v>
      </c>
      <c r="B439" s="343" t="s">
        <v>53</v>
      </c>
      <c r="C439" s="312">
        <v>1090</v>
      </c>
      <c r="D439" s="313" t="s">
        <v>13</v>
      </c>
      <c r="E439" s="185" t="s">
        <v>41</v>
      </c>
      <c r="F439" s="185" t="s">
        <v>62</v>
      </c>
      <c r="G439" s="185" t="s">
        <v>40</v>
      </c>
      <c r="H439" s="313">
        <v>50</v>
      </c>
      <c r="I439" s="314">
        <v>1</v>
      </c>
      <c r="J439" s="168">
        <f>ROUNDUP('Tarifa 2026'!J440*(1+Instructions!$AA$9),3)</f>
        <v>13.8</v>
      </c>
      <c r="K439" s="187">
        <f t="shared" si="47"/>
        <v>14.49</v>
      </c>
      <c r="L439" s="187" t="str">
        <f>IF(I439=1,"-",IF(AND(I439="",L436="-"),"-",ROUNDUP((J439*0.2)+J439,3)))</f>
        <v>-</v>
      </c>
      <c r="M439" s="73"/>
      <c r="N439" s="74"/>
      <c r="O439"/>
      <c r="P439"/>
      <c r="Q439"/>
      <c r="R439"/>
    </row>
    <row r="440" spans="1:18" s="6" customFormat="1" ht="26.1" customHeight="1">
      <c r="A440" s="310"/>
      <c r="B440" s="343"/>
      <c r="C440" s="312"/>
      <c r="D440" s="313"/>
      <c r="E440" s="185" t="s">
        <v>41</v>
      </c>
      <c r="F440" s="185" t="s">
        <v>78</v>
      </c>
      <c r="G440" s="185" t="s">
        <v>103</v>
      </c>
      <c r="H440" s="313"/>
      <c r="I440" s="314"/>
      <c r="J440" s="168">
        <f>ROUNDUP('Tarifa 2026'!J441*(1+Instructions!$AA$9),3)</f>
        <v>15.5</v>
      </c>
      <c r="K440" s="187">
        <f t="shared" si="47"/>
        <v>16.274999999999999</v>
      </c>
      <c r="L440" s="187" t="str">
        <f t="shared" ref="L440:L444" si="48">IF(I440=1,"-",IF(AND(I440="",L438="-"),"-",ROUNDUP((J440*0.2)+J440,3)))</f>
        <v>-</v>
      </c>
      <c r="M440" s="73"/>
      <c r="N440" s="74"/>
      <c r="O440"/>
      <c r="P440"/>
      <c r="Q440"/>
      <c r="R440"/>
    </row>
    <row r="441" spans="1:18" s="6" customFormat="1" ht="26.1" customHeight="1">
      <c r="A441" s="63">
        <v>230</v>
      </c>
      <c r="B441" s="169" t="s">
        <v>164</v>
      </c>
      <c r="C441" s="60" t="s">
        <v>334</v>
      </c>
      <c r="D441" s="61" t="s">
        <v>335</v>
      </c>
      <c r="E441" s="61" t="s">
        <v>107</v>
      </c>
      <c r="F441" s="61" t="s">
        <v>177</v>
      </c>
      <c r="G441" s="61" t="s">
        <v>40</v>
      </c>
      <c r="H441" s="61">
        <v>25</v>
      </c>
      <c r="I441" s="83">
        <v>1</v>
      </c>
      <c r="J441" s="102">
        <f>ROUNDUP('Tarifa 2026'!J442*(1+Instructions!$AA$9),3)</f>
        <v>23.9</v>
      </c>
      <c r="K441" s="103">
        <f t="shared" si="47"/>
        <v>25.094999999999999</v>
      </c>
      <c r="L441" s="103" t="str">
        <f t="shared" si="48"/>
        <v>-</v>
      </c>
      <c r="M441" s="73"/>
      <c r="N441" s="74"/>
      <c r="O441"/>
      <c r="P441"/>
      <c r="Q441"/>
      <c r="R441"/>
    </row>
    <row r="442" spans="1:18" s="6" customFormat="1" ht="26.1" customHeight="1">
      <c r="A442" s="188">
        <v>231</v>
      </c>
      <c r="B442" s="212" t="s">
        <v>53</v>
      </c>
      <c r="C442" s="189" t="s">
        <v>159</v>
      </c>
      <c r="D442" s="185" t="s">
        <v>158</v>
      </c>
      <c r="E442" s="185" t="s">
        <v>107</v>
      </c>
      <c r="F442" s="185" t="s">
        <v>80</v>
      </c>
      <c r="G442" s="185" t="s">
        <v>40</v>
      </c>
      <c r="H442" s="185">
        <v>25</v>
      </c>
      <c r="I442" s="186">
        <v>1</v>
      </c>
      <c r="J442" s="168">
        <f>ROUNDUP('Tarifa 2026'!J443*(1+Instructions!$AA$9),3)</f>
        <v>25.9</v>
      </c>
      <c r="K442" s="187">
        <f t="shared" si="47"/>
        <v>27.195</v>
      </c>
      <c r="L442" s="187" t="str">
        <f t="shared" si="48"/>
        <v>-</v>
      </c>
      <c r="M442" s="73"/>
      <c r="N442" s="74"/>
      <c r="O442"/>
      <c r="P442"/>
      <c r="Q442"/>
      <c r="R442"/>
    </row>
    <row r="443" spans="1:18" s="6" customFormat="1" ht="26.1" customHeight="1">
      <c r="A443" s="63">
        <v>231</v>
      </c>
      <c r="B443" s="64" t="s">
        <v>53</v>
      </c>
      <c r="C443" s="161" t="s">
        <v>75</v>
      </c>
      <c r="D443" s="61" t="s">
        <v>76</v>
      </c>
      <c r="E443" s="61" t="s">
        <v>107</v>
      </c>
      <c r="F443" s="61" t="s">
        <v>108</v>
      </c>
      <c r="G443" s="61" t="s">
        <v>84</v>
      </c>
      <c r="H443" s="61">
        <v>50</v>
      </c>
      <c r="I443" s="65">
        <v>1</v>
      </c>
      <c r="J443" s="102">
        <f>ROUNDUP('Tarifa 2026'!J444*(1+Instructions!$AA$9),3)</f>
        <v>13</v>
      </c>
      <c r="K443" s="103">
        <f t="shared" si="47"/>
        <v>13.65</v>
      </c>
      <c r="L443" s="103" t="str">
        <f t="shared" si="48"/>
        <v>-</v>
      </c>
      <c r="M443" s="73"/>
      <c r="N443" s="74"/>
      <c r="O443"/>
      <c r="P443"/>
      <c r="Q443"/>
      <c r="R443"/>
    </row>
    <row r="444" spans="1:18" s="6" customFormat="1" ht="26.1" customHeight="1">
      <c r="A444" s="188">
        <v>231</v>
      </c>
      <c r="B444" s="183" t="s">
        <v>53</v>
      </c>
      <c r="C444" s="184" t="s">
        <v>50</v>
      </c>
      <c r="D444" s="185" t="s">
        <v>51</v>
      </c>
      <c r="E444" s="185" t="s">
        <v>39</v>
      </c>
      <c r="F444" s="185" t="s">
        <v>80</v>
      </c>
      <c r="G444" s="185" t="s">
        <v>40</v>
      </c>
      <c r="H444" s="185">
        <v>50</v>
      </c>
      <c r="I444" s="191">
        <v>1</v>
      </c>
      <c r="J444" s="168">
        <f>ROUNDUP('Tarifa 2026'!J445*(1+Instructions!$AA$9),3)</f>
        <v>13</v>
      </c>
      <c r="K444" s="187">
        <f t="shared" si="47"/>
        <v>13.65</v>
      </c>
      <c r="L444" s="187" t="str">
        <f t="shared" si="48"/>
        <v>-</v>
      </c>
      <c r="M444" s="73"/>
      <c r="N444" s="74"/>
      <c r="O444"/>
      <c r="P444"/>
      <c r="Q444"/>
      <c r="R444"/>
    </row>
    <row r="445" spans="1:18" ht="27.75" customHeight="1">
      <c r="A445" s="341" t="s">
        <v>128</v>
      </c>
      <c r="B445" s="341"/>
      <c r="C445" s="341"/>
      <c r="D445" s="341"/>
      <c r="E445" s="341"/>
      <c r="F445" s="341"/>
      <c r="G445" s="341"/>
      <c r="H445" s="341"/>
      <c r="I445" s="341"/>
      <c r="J445" s="341"/>
      <c r="K445" s="341"/>
      <c r="L445" s="341"/>
      <c r="M445" s="73"/>
      <c r="N445" s="74"/>
    </row>
    <row r="446" spans="1:18" s="6" customFormat="1" ht="21.75" customHeight="1">
      <c r="A446" s="85">
        <v>242</v>
      </c>
      <c r="B446" s="193" t="s">
        <v>164</v>
      </c>
      <c r="C446" s="56" t="s">
        <v>336</v>
      </c>
      <c r="D446" s="55" t="s">
        <v>337</v>
      </c>
      <c r="E446" s="55" t="s">
        <v>107</v>
      </c>
      <c r="F446" s="163" t="s">
        <v>0</v>
      </c>
      <c r="G446" s="55" t="s">
        <v>40</v>
      </c>
      <c r="H446" s="55">
        <v>250</v>
      </c>
      <c r="I446" s="164">
        <v>10</v>
      </c>
      <c r="J446" s="102">
        <f>ROUNDUP('Tarifa 2026'!J447*(1+Instructions!$AA$9),3)</f>
        <v>3</v>
      </c>
      <c r="K446" s="103">
        <f t="shared" ref="K446" si="49">IF(I446=1,(ROUNDUP((J446*0.05+J446),3)),ROUNDUP((J446*0.05+J446),3))</f>
        <v>3.15</v>
      </c>
      <c r="L446" s="103">
        <f t="shared" ref="L446" si="50">IF(I446=1,"-",IF(AND(I446="",L445="-"),"-",ROUNDUP((J446*0.2)+J446,3)))</f>
        <v>3.6</v>
      </c>
      <c r="M446" s="73"/>
      <c r="N446" s="74"/>
      <c r="O446"/>
      <c r="P446"/>
      <c r="Q446"/>
      <c r="R446"/>
    </row>
    <row r="447" spans="1:18" ht="229.5" customHeight="1">
      <c r="A447" s="294" t="s">
        <v>138</v>
      </c>
      <c r="B447" s="295"/>
      <c r="C447" s="295"/>
      <c r="D447" s="295"/>
      <c r="E447" s="295"/>
      <c r="F447" s="295"/>
      <c r="G447" s="295"/>
      <c r="H447" s="295"/>
      <c r="I447" s="295"/>
      <c r="J447" s="295"/>
      <c r="K447" s="295"/>
      <c r="L447" s="295"/>
    </row>
    <row r="448" spans="1:18">
      <c r="A448" s="8"/>
      <c r="B448" s="27"/>
      <c r="C448" s="20"/>
      <c r="D448" s="8"/>
      <c r="E448" s="8"/>
      <c r="F448" s="8"/>
      <c r="G448" s="8"/>
      <c r="H448" s="8"/>
      <c r="I448" s="75"/>
      <c r="J448" s="76"/>
      <c r="K448" s="76"/>
      <c r="L448" s="76"/>
    </row>
    <row r="449" spans="1:1">
      <c r="A449" s="2"/>
    </row>
    <row r="465" spans="5:12" ht="15.75">
      <c r="E465" s="40"/>
      <c r="F465" s="40"/>
      <c r="G465" s="40"/>
      <c r="H465" s="40"/>
      <c r="I465" s="40"/>
      <c r="J465" s="40"/>
      <c r="K465" s="40"/>
      <c r="L465" s="40"/>
    </row>
    <row r="469" spans="5:12" ht="14.1" customHeight="1"/>
    <row r="470" spans="5:12" ht="14.1" customHeight="1"/>
    <row r="499" spans="1:12">
      <c r="A499"/>
      <c r="B499" s="29"/>
      <c r="C499"/>
      <c r="D499" s="39"/>
      <c r="E499" s="39"/>
      <c r="F499" s="30"/>
      <c r="G499" s="39"/>
      <c r="H499"/>
      <c r="I499" s="4"/>
      <c r="J499" s="34"/>
      <c r="K499" s="35"/>
      <c r="L499" s="35"/>
    </row>
    <row r="500" spans="1:12">
      <c r="A500"/>
      <c r="B500" s="29"/>
      <c r="C500"/>
      <c r="D500" s="39"/>
      <c r="E500" s="39"/>
      <c r="F500" s="30"/>
      <c r="G500" s="39"/>
      <c r="H500"/>
      <c r="I500" s="4"/>
      <c r="J500" s="34"/>
      <c r="K500" s="35"/>
      <c r="L500" s="35"/>
    </row>
    <row r="688" ht="17.100000000000001" customHeight="1"/>
    <row r="693" ht="17.100000000000001" customHeight="1"/>
    <row r="718" spans="1:12">
      <c r="A718"/>
      <c r="B718" s="29"/>
      <c r="C718"/>
      <c r="D718" s="39"/>
      <c r="E718" s="39"/>
      <c r="F718" s="30"/>
      <c r="G718" s="39"/>
      <c r="H718"/>
      <c r="I718" s="4"/>
      <c r="J718" s="34"/>
      <c r="K718" s="35"/>
      <c r="L718" s="35"/>
    </row>
    <row r="723" spans="1:12">
      <c r="A723"/>
      <c r="B723" s="29"/>
      <c r="C723"/>
      <c r="D723" s="39"/>
      <c r="E723" s="39"/>
      <c r="F723" s="30"/>
      <c r="G723" s="39"/>
      <c r="H723"/>
      <c r="I723" s="4"/>
      <c r="J723" s="34"/>
      <c r="K723" s="35"/>
      <c r="L723" s="35"/>
    </row>
  </sheetData>
  <mergeCells count="618">
    <mergeCell ref="A383:A384"/>
    <mergeCell ref="B383:B384"/>
    <mergeCell ref="C383:C384"/>
    <mergeCell ref="D383:D384"/>
    <mergeCell ref="H383:H384"/>
    <mergeCell ref="I383:I384"/>
    <mergeCell ref="A434:A435"/>
    <mergeCell ref="B434:B435"/>
    <mergeCell ref="C434:C435"/>
    <mergeCell ref="D434:D435"/>
    <mergeCell ref="H434:H435"/>
    <mergeCell ref="I434:I435"/>
    <mergeCell ref="I420:I421"/>
    <mergeCell ref="A416:A417"/>
    <mergeCell ref="B416:B417"/>
    <mergeCell ref="C416:C417"/>
    <mergeCell ref="D416:D417"/>
    <mergeCell ref="A396:A397"/>
    <mergeCell ref="B396:B397"/>
    <mergeCell ref="C396:C397"/>
    <mergeCell ref="D396:D397"/>
    <mergeCell ref="H396:H397"/>
    <mergeCell ref="I396:I397"/>
    <mergeCell ref="H416:H417"/>
    <mergeCell ref="B180:B181"/>
    <mergeCell ref="C180:C181"/>
    <mergeCell ref="D180:D181"/>
    <mergeCell ref="H180:H181"/>
    <mergeCell ref="I180:I181"/>
    <mergeCell ref="A439:A440"/>
    <mergeCell ref="B439:B440"/>
    <mergeCell ref="C439:C440"/>
    <mergeCell ref="D439:D440"/>
    <mergeCell ref="H439:H440"/>
    <mergeCell ref="I439:I440"/>
    <mergeCell ref="A428:A429"/>
    <mergeCell ref="B428:B429"/>
    <mergeCell ref="C428:C429"/>
    <mergeCell ref="D428:D429"/>
    <mergeCell ref="H428:H429"/>
    <mergeCell ref="I428:I429"/>
    <mergeCell ref="A430:A431"/>
    <mergeCell ref="B430:B431"/>
    <mergeCell ref="C430:C431"/>
    <mergeCell ref="D430:D431"/>
    <mergeCell ref="H430:H431"/>
    <mergeCell ref="I430:I431"/>
    <mergeCell ref="A436:A437"/>
    <mergeCell ref="B436:B437"/>
    <mergeCell ref="C436:C437"/>
    <mergeCell ref="D436:D437"/>
    <mergeCell ref="H436:H437"/>
    <mergeCell ref="I436:I437"/>
    <mergeCell ref="A425:A427"/>
    <mergeCell ref="B425:B427"/>
    <mergeCell ref="C425:C427"/>
    <mergeCell ref="D425:D427"/>
    <mergeCell ref="H425:H427"/>
    <mergeCell ref="I425:I427"/>
    <mergeCell ref="I416:I417"/>
    <mergeCell ref="A422:A424"/>
    <mergeCell ref="B422:B424"/>
    <mergeCell ref="C422:C424"/>
    <mergeCell ref="D422:D424"/>
    <mergeCell ref="H422:H424"/>
    <mergeCell ref="I422:I424"/>
    <mergeCell ref="A406:A407"/>
    <mergeCell ref="B406:B407"/>
    <mergeCell ref="C406:C407"/>
    <mergeCell ref="D406:D407"/>
    <mergeCell ref="H406:H407"/>
    <mergeCell ref="I406:I407"/>
    <mergeCell ref="A411:A414"/>
    <mergeCell ref="B411:B414"/>
    <mergeCell ref="C411:C414"/>
    <mergeCell ref="D411:D414"/>
    <mergeCell ref="H411:H414"/>
    <mergeCell ref="I411:I414"/>
    <mergeCell ref="A408:A409"/>
    <mergeCell ref="B408:B409"/>
    <mergeCell ref="C408:C409"/>
    <mergeCell ref="D408:D409"/>
    <mergeCell ref="H408:H409"/>
    <mergeCell ref="I408:I409"/>
    <mergeCell ref="A373:A374"/>
    <mergeCell ref="B373:B374"/>
    <mergeCell ref="C373:C374"/>
    <mergeCell ref="D373:D374"/>
    <mergeCell ref="H373:H374"/>
    <mergeCell ref="I373:I374"/>
    <mergeCell ref="A375:A376"/>
    <mergeCell ref="B375:B376"/>
    <mergeCell ref="C375:C376"/>
    <mergeCell ref="D375:D376"/>
    <mergeCell ref="H375:H376"/>
    <mergeCell ref="I375:I376"/>
    <mergeCell ref="A377:A379"/>
    <mergeCell ref="B377:B379"/>
    <mergeCell ref="C377:C379"/>
    <mergeCell ref="D377:D379"/>
    <mergeCell ref="H377:H379"/>
    <mergeCell ref="I377:I379"/>
    <mergeCell ref="A381:A382"/>
    <mergeCell ref="B381:B382"/>
    <mergeCell ref="C381:C382"/>
    <mergeCell ref="D381:D382"/>
    <mergeCell ref="H381:H382"/>
    <mergeCell ref="A347:A351"/>
    <mergeCell ref="B347:B351"/>
    <mergeCell ref="C347:C351"/>
    <mergeCell ref="D347:D351"/>
    <mergeCell ref="H347:H351"/>
    <mergeCell ref="I347:I351"/>
    <mergeCell ref="A343:A346"/>
    <mergeCell ref="B343:B346"/>
    <mergeCell ref="C343:C346"/>
    <mergeCell ref="D343:D346"/>
    <mergeCell ref="H343:H346"/>
    <mergeCell ref="I343:I346"/>
    <mergeCell ref="A445:L445"/>
    <mergeCell ref="A420:A421"/>
    <mergeCell ref="B420:B421"/>
    <mergeCell ref="I398:I399"/>
    <mergeCell ref="A400:A401"/>
    <mergeCell ref="B400:B401"/>
    <mergeCell ref="C400:C401"/>
    <mergeCell ref="D400:D401"/>
    <mergeCell ref="H400:H401"/>
    <mergeCell ref="I400:I401"/>
    <mergeCell ref="A402:A405"/>
    <mergeCell ref="B402:B405"/>
    <mergeCell ref="C402:C405"/>
    <mergeCell ref="D402:D405"/>
    <mergeCell ref="H402:H405"/>
    <mergeCell ref="I402:I405"/>
    <mergeCell ref="A398:A399"/>
    <mergeCell ref="B398:B399"/>
    <mergeCell ref="C398:C399"/>
    <mergeCell ref="D398:D399"/>
    <mergeCell ref="H398:H399"/>
    <mergeCell ref="C420:C421"/>
    <mergeCell ref="D420:D421"/>
    <mergeCell ref="H420:H421"/>
    <mergeCell ref="A369:A370"/>
    <mergeCell ref="B369:B370"/>
    <mergeCell ref="C369:C370"/>
    <mergeCell ref="D369:D370"/>
    <mergeCell ref="H369:H370"/>
    <mergeCell ref="I369:I370"/>
    <mergeCell ref="A371:A372"/>
    <mergeCell ref="B371:B372"/>
    <mergeCell ref="C371:C372"/>
    <mergeCell ref="D371:D372"/>
    <mergeCell ref="H371:H372"/>
    <mergeCell ref="I371:I372"/>
    <mergeCell ref="A366:A368"/>
    <mergeCell ref="B366:B368"/>
    <mergeCell ref="C366:C368"/>
    <mergeCell ref="D366:D368"/>
    <mergeCell ref="H366:H368"/>
    <mergeCell ref="I366:I368"/>
    <mergeCell ref="H356:H360"/>
    <mergeCell ref="I356:I360"/>
    <mergeCell ref="A362:A365"/>
    <mergeCell ref="B362:B365"/>
    <mergeCell ref="C362:C365"/>
    <mergeCell ref="D362:D365"/>
    <mergeCell ref="H362:H365"/>
    <mergeCell ref="I362:I365"/>
    <mergeCell ref="A356:A361"/>
    <mergeCell ref="B356:B361"/>
    <mergeCell ref="C356:C361"/>
    <mergeCell ref="D356:D361"/>
    <mergeCell ref="A352:A353"/>
    <mergeCell ref="B352:B353"/>
    <mergeCell ref="C352:C353"/>
    <mergeCell ref="D352:D353"/>
    <mergeCell ref="H352:H353"/>
    <mergeCell ref="I352:I353"/>
    <mergeCell ref="A354:A355"/>
    <mergeCell ref="B354:B355"/>
    <mergeCell ref="C354:C355"/>
    <mergeCell ref="D354:D355"/>
    <mergeCell ref="H354:H355"/>
    <mergeCell ref="I354:I355"/>
    <mergeCell ref="A275:A277"/>
    <mergeCell ref="B275:B277"/>
    <mergeCell ref="C275:C277"/>
    <mergeCell ref="D275:D277"/>
    <mergeCell ref="H275:H277"/>
    <mergeCell ref="I275:I277"/>
    <mergeCell ref="A279:A282"/>
    <mergeCell ref="B279:B282"/>
    <mergeCell ref="C279:C282"/>
    <mergeCell ref="D279:D282"/>
    <mergeCell ref="H279:H282"/>
    <mergeCell ref="I279:I282"/>
    <mergeCell ref="A269:A270"/>
    <mergeCell ref="B269:B270"/>
    <mergeCell ref="C269:C270"/>
    <mergeCell ref="D269:D270"/>
    <mergeCell ref="H269:H270"/>
    <mergeCell ref="I269:I270"/>
    <mergeCell ref="A272:A273"/>
    <mergeCell ref="B272:B273"/>
    <mergeCell ref="C272:C273"/>
    <mergeCell ref="D272:D273"/>
    <mergeCell ref="H272:H273"/>
    <mergeCell ref="I272:I273"/>
    <mergeCell ref="H256:H257"/>
    <mergeCell ref="I256:I257"/>
    <mergeCell ref="A259:A262"/>
    <mergeCell ref="B259:B262"/>
    <mergeCell ref="C259:C262"/>
    <mergeCell ref="D259:D262"/>
    <mergeCell ref="H259:H262"/>
    <mergeCell ref="I259:I262"/>
    <mergeCell ref="A263:A266"/>
    <mergeCell ref="B263:B266"/>
    <mergeCell ref="C263:C266"/>
    <mergeCell ref="D263:D266"/>
    <mergeCell ref="H263:H266"/>
    <mergeCell ref="I263:I266"/>
    <mergeCell ref="A256:A257"/>
    <mergeCell ref="B256:B257"/>
    <mergeCell ref="C256:C257"/>
    <mergeCell ref="D256:D257"/>
    <mergeCell ref="A250:A251"/>
    <mergeCell ref="B250:B251"/>
    <mergeCell ref="C250:C251"/>
    <mergeCell ref="D250:D251"/>
    <mergeCell ref="H250:H251"/>
    <mergeCell ref="I250:I251"/>
    <mergeCell ref="A238:A245"/>
    <mergeCell ref="B238:B245"/>
    <mergeCell ref="C238:C245"/>
    <mergeCell ref="D238:D245"/>
    <mergeCell ref="H238:H245"/>
    <mergeCell ref="I238:I245"/>
    <mergeCell ref="I234:I237"/>
    <mergeCell ref="A213:L213"/>
    <mergeCell ref="A214:A221"/>
    <mergeCell ref="B214:B221"/>
    <mergeCell ref="C214:C221"/>
    <mergeCell ref="D214:D221"/>
    <mergeCell ref="H214:H221"/>
    <mergeCell ref="A246:A249"/>
    <mergeCell ref="B246:B249"/>
    <mergeCell ref="C246:C249"/>
    <mergeCell ref="D246:D249"/>
    <mergeCell ref="H246:H249"/>
    <mergeCell ref="I246:I249"/>
    <mergeCell ref="A160:A165"/>
    <mergeCell ref="B160:B165"/>
    <mergeCell ref="C160:C165"/>
    <mergeCell ref="D160:D165"/>
    <mergeCell ref="A175:A176"/>
    <mergeCell ref="B175:B176"/>
    <mergeCell ref="C175:C176"/>
    <mergeCell ref="D175:D176"/>
    <mergeCell ref="H175:H176"/>
    <mergeCell ref="H160:H165"/>
    <mergeCell ref="I175:I176"/>
    <mergeCell ref="A177:A178"/>
    <mergeCell ref="B177:B178"/>
    <mergeCell ref="C177:C178"/>
    <mergeCell ref="D177:D178"/>
    <mergeCell ref="H177:H178"/>
    <mergeCell ref="I177:I178"/>
    <mergeCell ref="A173:A174"/>
    <mergeCell ref="A171:L171"/>
    <mergeCell ref="A180:A181"/>
    <mergeCell ref="A97:L97"/>
    <mergeCell ref="A134:L134"/>
    <mergeCell ref="A142:L142"/>
    <mergeCell ref="A106:A107"/>
    <mergeCell ref="B106:B107"/>
    <mergeCell ref="C106:C107"/>
    <mergeCell ref="D106:D107"/>
    <mergeCell ref="H106:H107"/>
    <mergeCell ref="I106:I107"/>
    <mergeCell ref="A108:A110"/>
    <mergeCell ref="B108:B110"/>
    <mergeCell ref="C108:C110"/>
    <mergeCell ref="D108:D110"/>
    <mergeCell ref="H108:H109"/>
    <mergeCell ref="I108:I109"/>
    <mergeCell ref="A111:A112"/>
    <mergeCell ref="B111:B112"/>
    <mergeCell ref="C111:C112"/>
    <mergeCell ref="D111:D112"/>
    <mergeCell ref="H111:H112"/>
    <mergeCell ref="I111:I112"/>
    <mergeCell ref="A113:A114"/>
    <mergeCell ref="B113:B114"/>
    <mergeCell ref="C113:C114"/>
    <mergeCell ref="A90:A92"/>
    <mergeCell ref="B90:B92"/>
    <mergeCell ref="C90:C92"/>
    <mergeCell ref="D90:D92"/>
    <mergeCell ref="H90:H92"/>
    <mergeCell ref="I90:I92"/>
    <mergeCell ref="A94:A96"/>
    <mergeCell ref="B94:B96"/>
    <mergeCell ref="C94:C96"/>
    <mergeCell ref="D94:D96"/>
    <mergeCell ref="H94:H96"/>
    <mergeCell ref="I94:I96"/>
    <mergeCell ref="D113:D114"/>
    <mergeCell ref="H113:H114"/>
    <mergeCell ref="I113:I114"/>
    <mergeCell ref="A98:A105"/>
    <mergeCell ref="B98:B105"/>
    <mergeCell ref="C98:C105"/>
    <mergeCell ref="D98:D105"/>
    <mergeCell ref="H98:H105"/>
    <mergeCell ref="I98:I105"/>
    <mergeCell ref="A53:A55"/>
    <mergeCell ref="B53:B55"/>
    <mergeCell ref="C53:C55"/>
    <mergeCell ref="D53:D55"/>
    <mergeCell ref="H53:H55"/>
    <mergeCell ref="I53:I55"/>
    <mergeCell ref="A62:A64"/>
    <mergeCell ref="B62:B64"/>
    <mergeCell ref="C62:C64"/>
    <mergeCell ref="D62:D64"/>
    <mergeCell ref="H62:H64"/>
    <mergeCell ref="I62:I64"/>
    <mergeCell ref="A56:A58"/>
    <mergeCell ref="B56:B58"/>
    <mergeCell ref="C56:C58"/>
    <mergeCell ref="D56:D58"/>
    <mergeCell ref="H56:H58"/>
    <mergeCell ref="I56:I58"/>
    <mergeCell ref="A59:A61"/>
    <mergeCell ref="B59:B61"/>
    <mergeCell ref="C59:C61"/>
    <mergeCell ref="D59:D61"/>
    <mergeCell ref="H59:H61"/>
    <mergeCell ref="I59:I61"/>
    <mergeCell ref="H44:H46"/>
    <mergeCell ref="I44:I46"/>
    <mergeCell ref="A47:A49"/>
    <mergeCell ref="B47:B49"/>
    <mergeCell ref="C47:C49"/>
    <mergeCell ref="D47:D49"/>
    <mergeCell ref="H47:H49"/>
    <mergeCell ref="I47:I49"/>
    <mergeCell ref="A50:A52"/>
    <mergeCell ref="B50:B52"/>
    <mergeCell ref="C50:C52"/>
    <mergeCell ref="D50:D52"/>
    <mergeCell ref="H50:H52"/>
    <mergeCell ref="I50:I52"/>
    <mergeCell ref="A447:L447"/>
    <mergeCell ref="A1:L1"/>
    <mergeCell ref="A5:L5"/>
    <mergeCell ref="A24:L24"/>
    <mergeCell ref="A29:A31"/>
    <mergeCell ref="B29:B31"/>
    <mergeCell ref="C29:C31"/>
    <mergeCell ref="D29:D31"/>
    <mergeCell ref="H29:H31"/>
    <mergeCell ref="I29:I31"/>
    <mergeCell ref="A32:A34"/>
    <mergeCell ref="B32:B34"/>
    <mergeCell ref="C32:C34"/>
    <mergeCell ref="D32:D34"/>
    <mergeCell ref="A41:A43"/>
    <mergeCell ref="B41:B43"/>
    <mergeCell ref="C41:C43"/>
    <mergeCell ref="D41:D43"/>
    <mergeCell ref="H41:H43"/>
    <mergeCell ref="I41:I43"/>
    <mergeCell ref="A44:A46"/>
    <mergeCell ref="B44:B46"/>
    <mergeCell ref="C44:C46"/>
    <mergeCell ref="D44:D46"/>
    <mergeCell ref="A252:A255"/>
    <mergeCell ref="B252:B255"/>
    <mergeCell ref="C252:C255"/>
    <mergeCell ref="D252:D255"/>
    <mergeCell ref="H252:H255"/>
    <mergeCell ref="I252:I255"/>
    <mergeCell ref="I214:I221"/>
    <mergeCell ref="A222:A225"/>
    <mergeCell ref="B222:B225"/>
    <mergeCell ref="C222:C225"/>
    <mergeCell ref="D222:D225"/>
    <mergeCell ref="H222:H225"/>
    <mergeCell ref="I222:I225"/>
    <mergeCell ref="A226:A233"/>
    <mergeCell ref="B226:B233"/>
    <mergeCell ref="C226:C233"/>
    <mergeCell ref="D226:D233"/>
    <mergeCell ref="H226:H233"/>
    <mergeCell ref="I226:I233"/>
    <mergeCell ref="A234:A237"/>
    <mergeCell ref="B234:B237"/>
    <mergeCell ref="C234:C237"/>
    <mergeCell ref="D234:D237"/>
    <mergeCell ref="H234:H237"/>
    <mergeCell ref="A283:A286"/>
    <mergeCell ref="B283:B286"/>
    <mergeCell ref="C283:C286"/>
    <mergeCell ref="D283:D286"/>
    <mergeCell ref="H283:H286"/>
    <mergeCell ref="I283:I286"/>
    <mergeCell ref="A299:A302"/>
    <mergeCell ref="B299:B302"/>
    <mergeCell ref="C299:C302"/>
    <mergeCell ref="D299:D302"/>
    <mergeCell ref="H299:H302"/>
    <mergeCell ref="I299:I302"/>
    <mergeCell ref="A287:A294"/>
    <mergeCell ref="B287:B294"/>
    <mergeCell ref="C287:C294"/>
    <mergeCell ref="D287:D294"/>
    <mergeCell ref="H287:H294"/>
    <mergeCell ref="I287:I294"/>
    <mergeCell ref="A295:A298"/>
    <mergeCell ref="B295:B298"/>
    <mergeCell ref="C295:C298"/>
    <mergeCell ref="D295:D298"/>
    <mergeCell ref="H295:H298"/>
    <mergeCell ref="I295:I298"/>
    <mergeCell ref="A303:A306"/>
    <mergeCell ref="B303:B306"/>
    <mergeCell ref="C303:C306"/>
    <mergeCell ref="D303:D306"/>
    <mergeCell ref="H303:H306"/>
    <mergeCell ref="I303:I306"/>
    <mergeCell ref="A307:A310"/>
    <mergeCell ref="B307:B310"/>
    <mergeCell ref="C307:C310"/>
    <mergeCell ref="D307:D310"/>
    <mergeCell ref="H307:H310"/>
    <mergeCell ref="I307:I310"/>
    <mergeCell ref="A311:A316"/>
    <mergeCell ref="B311:B316"/>
    <mergeCell ref="C311:C316"/>
    <mergeCell ref="D311:D316"/>
    <mergeCell ref="H311:H316"/>
    <mergeCell ref="I311:I316"/>
    <mergeCell ref="A317:A324"/>
    <mergeCell ref="B317:B324"/>
    <mergeCell ref="C317:C324"/>
    <mergeCell ref="D317:D324"/>
    <mergeCell ref="H317:H324"/>
    <mergeCell ref="I317:I324"/>
    <mergeCell ref="A326:A327"/>
    <mergeCell ref="B326:B327"/>
    <mergeCell ref="C326:C327"/>
    <mergeCell ref="D326:D327"/>
    <mergeCell ref="H326:H327"/>
    <mergeCell ref="I326:I327"/>
    <mergeCell ref="A329:A330"/>
    <mergeCell ref="B329:B330"/>
    <mergeCell ref="C329:C330"/>
    <mergeCell ref="D329:D330"/>
    <mergeCell ref="H329:H330"/>
    <mergeCell ref="I329:I330"/>
    <mergeCell ref="A331:A332"/>
    <mergeCell ref="B331:B332"/>
    <mergeCell ref="C331:C332"/>
    <mergeCell ref="D331:D332"/>
    <mergeCell ref="H331:H332"/>
    <mergeCell ref="I331:I332"/>
    <mergeCell ref="A337:A342"/>
    <mergeCell ref="B337:B342"/>
    <mergeCell ref="C337:C342"/>
    <mergeCell ref="D337:D342"/>
    <mergeCell ref="A334:A335"/>
    <mergeCell ref="B334:B335"/>
    <mergeCell ref="C334:C335"/>
    <mergeCell ref="D334:D335"/>
    <mergeCell ref="H334:H335"/>
    <mergeCell ref="I334:I335"/>
    <mergeCell ref="H337:H341"/>
    <mergeCell ref="I337:I341"/>
    <mergeCell ref="I381:I382"/>
    <mergeCell ref="A385:A386"/>
    <mergeCell ref="B385:B386"/>
    <mergeCell ref="C385:C386"/>
    <mergeCell ref="D385:D386"/>
    <mergeCell ref="H385:H386"/>
    <mergeCell ref="I385:I386"/>
    <mergeCell ref="A394:A395"/>
    <mergeCell ref="B394:B395"/>
    <mergeCell ref="C394:C395"/>
    <mergeCell ref="D394:D395"/>
    <mergeCell ref="H394:H395"/>
    <mergeCell ref="I394:I395"/>
    <mergeCell ref="A387:A389"/>
    <mergeCell ref="B387:B389"/>
    <mergeCell ref="C387:C389"/>
    <mergeCell ref="D387:D389"/>
    <mergeCell ref="H387:H389"/>
    <mergeCell ref="I387:I389"/>
    <mergeCell ref="A392:A393"/>
    <mergeCell ref="B392:B393"/>
    <mergeCell ref="C392:C393"/>
    <mergeCell ref="D392:D393"/>
    <mergeCell ref="H392:H393"/>
    <mergeCell ref="I392:I393"/>
    <mergeCell ref="A25:A26"/>
    <mergeCell ref="B25:B26"/>
    <mergeCell ref="C25:C26"/>
    <mergeCell ref="D25:D26"/>
    <mergeCell ref="H25:H26"/>
    <mergeCell ref="I25:I26"/>
    <mergeCell ref="A27:A28"/>
    <mergeCell ref="B27:B28"/>
    <mergeCell ref="C27:C28"/>
    <mergeCell ref="D27:D28"/>
    <mergeCell ref="H27:H28"/>
    <mergeCell ref="I27:I28"/>
    <mergeCell ref="H32:H34"/>
    <mergeCell ref="I32:I34"/>
    <mergeCell ref="A35:A37"/>
    <mergeCell ref="B35:B37"/>
    <mergeCell ref="C35:C37"/>
    <mergeCell ref="D35:D37"/>
    <mergeCell ref="H35:H37"/>
    <mergeCell ref="I35:I37"/>
    <mergeCell ref="A38:A40"/>
    <mergeCell ref="B38:B40"/>
    <mergeCell ref="C38:C40"/>
    <mergeCell ref="D38:D40"/>
    <mergeCell ref="H38:H40"/>
    <mergeCell ref="I38:I40"/>
    <mergeCell ref="A87:A89"/>
    <mergeCell ref="B87:B89"/>
    <mergeCell ref="C87:C89"/>
    <mergeCell ref="D87:D89"/>
    <mergeCell ref="H87:H89"/>
    <mergeCell ref="H65:H67"/>
    <mergeCell ref="I65:I67"/>
    <mergeCell ref="A68:A70"/>
    <mergeCell ref="B68:B70"/>
    <mergeCell ref="C68:C70"/>
    <mergeCell ref="D68:D70"/>
    <mergeCell ref="H68:H70"/>
    <mergeCell ref="I68:I70"/>
    <mergeCell ref="A71:A72"/>
    <mergeCell ref="B71:B72"/>
    <mergeCell ref="C71:C72"/>
    <mergeCell ref="D71:D72"/>
    <mergeCell ref="H71:H72"/>
    <mergeCell ref="I71:I72"/>
    <mergeCell ref="A65:A67"/>
    <mergeCell ref="B65:B67"/>
    <mergeCell ref="C65:C67"/>
    <mergeCell ref="D65:D67"/>
    <mergeCell ref="I87:I89"/>
    <mergeCell ref="A75:A76"/>
    <mergeCell ref="B75:B76"/>
    <mergeCell ref="C75:C76"/>
    <mergeCell ref="D75:D76"/>
    <mergeCell ref="H75:H76"/>
    <mergeCell ref="I75:I76"/>
    <mergeCell ref="A83:L83"/>
    <mergeCell ref="A84:A86"/>
    <mergeCell ref="B84:B86"/>
    <mergeCell ref="C84:C86"/>
    <mergeCell ref="D84:D86"/>
    <mergeCell ref="H84:H86"/>
    <mergeCell ref="I84:I86"/>
    <mergeCell ref="A115:A116"/>
    <mergeCell ref="B115:B116"/>
    <mergeCell ref="C115:C116"/>
    <mergeCell ref="D115:D116"/>
    <mergeCell ref="H115:H116"/>
    <mergeCell ref="I115:I116"/>
    <mergeCell ref="A153:L153"/>
    <mergeCell ref="A154:A159"/>
    <mergeCell ref="B154:B159"/>
    <mergeCell ref="C154:C159"/>
    <mergeCell ref="D154:D159"/>
    <mergeCell ref="H154:H159"/>
    <mergeCell ref="I154:I159"/>
    <mergeCell ref="I160:I165"/>
    <mergeCell ref="B187:B188"/>
    <mergeCell ref="C187:C188"/>
    <mergeCell ref="D187:D188"/>
    <mergeCell ref="H187:H188"/>
    <mergeCell ref="I187:I188"/>
    <mergeCell ref="A183:A184"/>
    <mergeCell ref="B173:B174"/>
    <mergeCell ref="C173:C174"/>
    <mergeCell ref="D173:D174"/>
    <mergeCell ref="H173:H174"/>
    <mergeCell ref="I173:I174"/>
    <mergeCell ref="B183:B184"/>
    <mergeCell ref="C183:C184"/>
    <mergeCell ref="D183:D184"/>
    <mergeCell ref="H183:H184"/>
    <mergeCell ref="I183:I184"/>
    <mergeCell ref="A185:A186"/>
    <mergeCell ref="B185:B186"/>
    <mergeCell ref="C185:C186"/>
    <mergeCell ref="D185:D186"/>
    <mergeCell ref="H185:H186"/>
    <mergeCell ref="I185:I186"/>
    <mergeCell ref="A187:A188"/>
    <mergeCell ref="A195:A196"/>
    <mergeCell ref="B195:B196"/>
    <mergeCell ref="C195:C196"/>
    <mergeCell ref="D195:D196"/>
    <mergeCell ref="H195:H196"/>
    <mergeCell ref="I195:I196"/>
    <mergeCell ref="A189:A190"/>
    <mergeCell ref="B189:B190"/>
    <mergeCell ref="C189:C190"/>
    <mergeCell ref="D189:D190"/>
    <mergeCell ref="H189:H190"/>
    <mergeCell ref="I189:I190"/>
  </mergeCells>
  <hyperlinks>
    <hyperlink ref="B94:B97" r:id="rId1" display="See Photo" xr:uid="{66A204BE-7CC6-486D-A145-8090C11196A2}"/>
    <hyperlink ref="B74:B85" r:id="rId2" display="See photo" xr:uid="{65A28F01-C1C1-43C6-9DC9-29D1FF44036D}"/>
    <hyperlink ref="B134" r:id="rId3" display="See photo" xr:uid="{F68D22EB-81BD-45D3-87D1-3E04E8CE55A9}"/>
    <hyperlink ref="B152:B155" r:id="rId4" display="See photo" xr:uid="{0ECF1983-4173-4966-B9F9-0FA4EFE7E977}"/>
    <hyperlink ref="B168:B171" r:id="rId5" display="See Photo" xr:uid="{CE5CDA66-3B80-4D1B-AE85-618285A30270}"/>
    <hyperlink ref="B213:B220" r:id="rId6" display="See photo" xr:uid="{41A245F0-D36B-4AC5-90D9-59CC08DE424F}"/>
    <hyperlink ref="B445:B446" r:id="rId7" display="See photo" xr:uid="{29B001C3-71E5-4CF1-AFD8-D90B28A714EA}"/>
    <hyperlink ref="B83" r:id="rId8" display="See photo" xr:uid="{E88FDD0D-8745-4E6E-B9A2-4CA604B7CDFC}"/>
    <hyperlink ref="B84" r:id="rId9" xr:uid="{BA93BCB1-8E1E-4887-AE3A-9B1D2FF5C320}"/>
    <hyperlink ref="B94:B96" r:id="rId10" display="See photo" xr:uid="{27CE983E-4CBE-4CFF-A809-F5FA14F35203}"/>
    <hyperlink ref="B84:B85" r:id="rId11" display="See photo" xr:uid="{ED9B0E1F-976E-4603-8E78-174183CD67EA}"/>
    <hyperlink ref="B90" r:id="rId12" xr:uid="{8D516AB8-0487-4F94-9F60-C1E6E2953C80}"/>
    <hyperlink ref="B84:B86" r:id="rId13" location="_" display="See photo" xr:uid="{24BA85D0-D1B8-4EF8-BB62-83F91EBA8483}"/>
    <hyperlink ref="B87" r:id="rId14" xr:uid="{E7426E07-1CA9-4CC2-932E-D31837DA8D2B}"/>
    <hyperlink ref="B94" r:id="rId15" xr:uid="{A876A049-CFA5-43F6-8D47-DBFEEFF51E40}"/>
    <hyperlink ref="B93" r:id="rId16" xr:uid="{AF865CC7-F386-41BF-B8FE-E69455CD6238}"/>
    <hyperlink ref="B87:B89" r:id="rId17" display="See photo" xr:uid="{CDCBD511-1B30-426D-A2A9-33A458CE91C9}"/>
    <hyperlink ref="B90:B92" r:id="rId18" display="See photo" xr:uid="{37505BFF-3A61-46A0-AAF9-D98C27CB4D87}"/>
    <hyperlink ref="B97" r:id="rId19" display="See Photo" xr:uid="{3FA9AF11-80B3-4C9A-B560-2D8DDD10E008}"/>
    <hyperlink ref="B134" r:id="rId20" display="See photo" xr:uid="{47C8F963-5589-461F-84BD-1D72A0F6F176}"/>
    <hyperlink ref="B135" r:id="rId21" xr:uid="{611299F8-FCB6-4B7F-BBF6-D94D9F1FC2B9}"/>
    <hyperlink ref="B137" r:id="rId22" xr:uid="{700FDB51-1BFB-4096-88AB-0487DFD0B487}"/>
    <hyperlink ref="B136" r:id="rId23" xr:uid="{64F31D98-3E08-4209-9390-9AF93827EB47}"/>
    <hyperlink ref="B138" r:id="rId24" xr:uid="{B9DC21CC-ACF0-43DA-88FE-B38AE5C775D8}"/>
    <hyperlink ref="B140" r:id="rId25" xr:uid="{457670F0-9C61-4BE1-8777-2B328F54B312}"/>
    <hyperlink ref="B139" r:id="rId26" xr:uid="{4BF835D5-43F1-4898-A601-AD84ABADCB85}"/>
    <hyperlink ref="B141" r:id="rId27" xr:uid="{2BA1A4A7-8A93-47BB-BD3C-24CEFF0F14B9}"/>
    <hyperlink ref="B151:B152" r:id="rId28" display="See photo" xr:uid="{AF84D28C-E62F-460E-BEEB-122D2FBADF88}"/>
    <hyperlink ref="B152" r:id="rId29" xr:uid="{8DC157E0-663C-440E-872A-4EDB6E00927F}"/>
    <hyperlink ref="B146" r:id="rId30" xr:uid="{0D20A03B-872C-460F-8A10-6EC6A06F19A3}"/>
    <hyperlink ref="B148" r:id="rId31" xr:uid="{EDBFA7FA-8BE2-46B6-87A3-22F6F0002275}"/>
    <hyperlink ref="B149" r:id="rId32" xr:uid="{821EF3F4-334A-467C-AA94-72C2C116DFCF}"/>
    <hyperlink ref="B150" r:id="rId33" xr:uid="{6748F5CC-5B04-48BF-A280-27B86BA03FC3}"/>
    <hyperlink ref="B147" r:id="rId34" xr:uid="{2AD244B0-02E2-43F1-B14F-4603F252315B}"/>
    <hyperlink ref="B151" r:id="rId35" xr:uid="{AFDF7AC3-8879-4FFF-8F69-DCCA7159FD7E}"/>
    <hyperlink ref="B143" r:id="rId36" xr:uid="{857CAA09-6BF4-492D-8A88-5D8923872D88}"/>
    <hyperlink ref="B144" r:id="rId37" xr:uid="{0BEDFC4B-4607-4972-A520-8028134BBCDD}"/>
    <hyperlink ref="B145" r:id="rId38" xr:uid="{86CDDF69-495A-480E-AF16-A34B9955F746}"/>
    <hyperlink ref="B153" r:id="rId39" display="See photo" xr:uid="{79AB524D-23FF-4599-8066-28121494E7BE}"/>
    <hyperlink ref="B154:B155" r:id="rId40" display="See photo" xr:uid="{D31AC4CD-8272-4FA4-837C-7C87F53ADA91}"/>
    <hyperlink ref="B168:B170" r:id="rId41" display="See Photo" xr:uid="{D3D461A5-78A9-4C29-B674-0AECCCBC5BCC}"/>
    <hyperlink ref="B167" r:id="rId42" xr:uid="{C45F5B3E-F037-4BD8-85C3-9AC7EAC9EEF5}"/>
    <hyperlink ref="B170" r:id="rId43" xr:uid="{20BB2394-0C0E-44D0-85B0-822514205E00}"/>
    <hyperlink ref="B169" r:id="rId44" xr:uid="{50236117-B433-419D-9E90-995174B6C442}"/>
    <hyperlink ref="B168" r:id="rId45" xr:uid="{9B3C8141-4007-4943-AD42-961ADBA57320}"/>
    <hyperlink ref="B166" r:id="rId46" xr:uid="{EAA669DC-EF4A-4A13-8282-AF0EEDB232A9}"/>
    <hyperlink ref="B154" r:id="rId47" xr:uid="{74E83AA5-CC75-4946-B582-BEB329E2E581}"/>
    <hyperlink ref="B160" r:id="rId48" xr:uid="{A8BFC77C-808C-4CE2-921B-41FC3BE3DE88}"/>
    <hyperlink ref="B160:B161" r:id="rId49" display="See photo" xr:uid="{18CEF55C-6EFE-46CE-B6B9-843B49A54B30}"/>
    <hyperlink ref="B160:B165" r:id="rId50" display="See photo" xr:uid="{8C8193A0-0628-403B-8074-7861C6D13BDD}"/>
    <hyperlink ref="B171" r:id="rId51" display="See photo" xr:uid="{8A4D09E6-AD8F-4338-BE1E-D5D9FF2C0DBF}"/>
    <hyperlink ref="B213" r:id="rId52" display="See photo" xr:uid="{E8860016-6E6A-4D03-9EF0-0C2E321855EE}"/>
    <hyperlink ref="B79:B82" r:id="rId53" display="See photo" xr:uid="{BFA5AE03-8A99-4F2F-8B12-97898888907C}"/>
    <hyperlink ref="B80:B82" r:id="rId54" display="See photo" xr:uid="{37312A70-A53E-4554-8958-45B8B452B1C4}"/>
    <hyperlink ref="B50" r:id="rId55" xr:uid="{CF92BCAB-73C9-4287-8C52-17370963A26C}"/>
    <hyperlink ref="B56" r:id="rId56" xr:uid="{971016AB-431B-4FD6-96E9-95490745EBDF}"/>
    <hyperlink ref="B82" r:id="rId57" xr:uid="{5737E3F8-43F2-4511-B567-2D4A209C18DC}"/>
    <hyperlink ref="B81" r:id="rId58" xr:uid="{17B8C382-6A4D-4CAC-A58E-FF8F89DE7B2C}"/>
    <hyperlink ref="B47" r:id="rId59" xr:uid="{11BDB48F-F04C-48FF-8A65-317E71A53789}"/>
    <hyperlink ref="B47:B49" r:id="rId60" display="See photo" xr:uid="{384BE2C9-4099-4095-B94D-3E7D64B443BE}"/>
    <hyperlink ref="B44:B46" r:id="rId61" display="See photo" xr:uid="{82D0CC0F-4478-411A-A891-292597F84C73}"/>
    <hyperlink ref="B62:B64" r:id="rId62" display="See photo" xr:uid="{CD1EF57B-E5A0-4765-AA79-433378D3128D}"/>
    <hyperlink ref="B77" r:id="rId63" xr:uid="{161F6B05-5E63-4F68-BDBC-42C1B914795D}"/>
    <hyperlink ref="B78" r:id="rId64" xr:uid="{E8EFDBC7-B2AF-4836-B5E3-F43441510E28}"/>
    <hyperlink ref="B65" r:id="rId65" xr:uid="{41E9D1E0-5435-4BEE-AAF9-62EFB7B29372}"/>
    <hyperlink ref="B38" r:id="rId66" xr:uid="{E1FA4378-2995-4E58-A77A-64C9D52741BC}"/>
    <hyperlink ref="B41" r:id="rId67" xr:uid="{C0CECDEE-D6BA-4566-9B14-201ECAAE4CB6}"/>
    <hyperlink ref="B41:B43" r:id="rId68" display="See photo" xr:uid="{521C879D-0A5E-4664-9E41-15ED81914FD8}"/>
    <hyperlink ref="B53:B55" r:id="rId69" display="See photo" xr:uid="{0D65D19A-61B9-4B9C-BBF0-838213030B8E}"/>
    <hyperlink ref="B59:B61" r:id="rId70" display="See photo" xr:uid="{DA338F79-E7EC-4165-BBB2-47DC9C9E982B}"/>
    <hyperlink ref="B74" r:id="rId71" xr:uid="{11FF71DE-65AB-403A-9D73-72117EADD5BC}"/>
    <hyperlink ref="B73" r:id="rId72" xr:uid="{F18E2B47-C068-4A0C-9650-1EFED3FE7492}"/>
    <hyperlink ref="B80" r:id="rId73" xr:uid="{39EC277A-DA58-4861-AAD1-F2DCBE2A0A81}"/>
    <hyperlink ref="B38:B40" r:id="rId74" display="See photo" xr:uid="{9FEBA787-8127-4F2C-ABDE-0F873D1CD402}"/>
    <hyperlink ref="B29" r:id="rId75" xr:uid="{FB389C4C-5C8A-408A-AECC-AECAEC23CACD}"/>
    <hyperlink ref="B32:B34" r:id="rId76" display="See photo" xr:uid="{7FE39BAE-47EE-4A9A-8CF1-3F6EFD403F35}"/>
    <hyperlink ref="B35" r:id="rId77" xr:uid="{76D58D6F-49C8-42FF-A9ED-536146CA6113}"/>
    <hyperlink ref="B35:B37" r:id="rId78" display="See photo" xr:uid="{91C0D9B9-E571-48FF-ACE6-1765C1BE9A06}"/>
    <hyperlink ref="B29:B31" r:id="rId79" display="See photo" xr:uid="{6D3863B5-7F46-43B8-A615-88D984042E93}"/>
    <hyperlink ref="B68" r:id="rId80" xr:uid="{2903B228-D902-4F3A-A841-4D88F6679048}"/>
    <hyperlink ref="B68:B70" r:id="rId81" display="See photo" xr:uid="{FF67A39D-F53A-468E-A827-257923D2C200}"/>
    <hyperlink ref="B79" r:id="rId82" xr:uid="{9D98FCF2-9E5D-4866-B601-6FAA7CE908BE}"/>
    <hyperlink ref="B71:B72" r:id="rId83" display="See photo" xr:uid="{E3E88B8C-239E-4607-9BF0-04176B8344C9}"/>
    <hyperlink ref="B120" r:id="rId84" xr:uid="{6C0F995E-8AA1-4222-AB84-1D5972C1689A}"/>
    <hyperlink ref="B117" r:id="rId85" xr:uid="{945B2B6A-ED89-496C-A80A-BE0E1E994D3B}"/>
    <hyperlink ref="B124" r:id="rId86" xr:uid="{F2A0508B-B7EE-436D-968A-30CA5F1B0693}"/>
    <hyperlink ref="B126" r:id="rId87" xr:uid="{9F4112D8-8BBF-46AB-9BBD-8114226F3EB9}"/>
    <hyperlink ref="B122" r:id="rId88" xr:uid="{0ED3640C-FE0D-4EA0-AE22-6BCF347F220A}"/>
    <hyperlink ref="B108:B109" r:id="rId89" display="See photo" xr:uid="{C953D11A-5B16-4B50-8C0B-99D74C877398}"/>
    <hyperlink ref="B125" r:id="rId90" xr:uid="{C7152E94-23E3-47E4-8DA8-8E8E4A702A0C}"/>
    <hyperlink ref="B111" r:id="rId91" xr:uid="{2CB5C55D-DBBE-49C5-865C-6B29DC3CC9BF}"/>
    <hyperlink ref="B111:B112" r:id="rId92" display="See photo" xr:uid="{9453D9CA-8C0C-46ED-B4FE-42F48A13723E}"/>
    <hyperlink ref="B118" r:id="rId93" xr:uid="{874B4A71-B5B0-4F65-A299-2795F5D0E703}"/>
    <hyperlink ref="B123" r:id="rId94" xr:uid="{F1B900C6-C437-43CF-877A-E4284C058E8F}"/>
    <hyperlink ref="B128" r:id="rId95" xr:uid="{C03898E7-EAA6-46F0-8F58-A04A7183DA3D}"/>
    <hyperlink ref="B133" r:id="rId96" xr:uid="{C6B6A253-A691-4917-ABE4-4A472466A2C4}"/>
    <hyperlink ref="B113" r:id="rId97" xr:uid="{5D1BDD03-5246-4D88-A499-6AF2DB874411}"/>
    <hyperlink ref="B115" r:id="rId98" xr:uid="{0AB2F8F8-AD4E-4450-9400-C82CC5450A47}"/>
    <hyperlink ref="B132" r:id="rId99" xr:uid="{E697F698-7120-4722-9A8B-932F8A30AB26}"/>
    <hyperlink ref="B127" r:id="rId100" xr:uid="{CD8C7D9F-6288-44B6-8BFC-08F80E38E73F}"/>
    <hyperlink ref="B115:B116" r:id="rId101" display="See photo" xr:uid="{703E8425-8225-4958-B80C-F2D930CC85DB}"/>
    <hyperlink ref="B131" r:id="rId102" xr:uid="{A25F61E7-83AB-4A5D-9FCE-9C9A398335DB}"/>
    <hyperlink ref="B121" r:id="rId103" xr:uid="{A7E2B920-5C7E-4C93-A8B6-3F0B9A529478}"/>
    <hyperlink ref="B129" r:id="rId104" xr:uid="{6D475A01-B603-4674-82B8-DE9B6F848BC1}"/>
    <hyperlink ref="B172:B176" r:id="rId105" display="See photo" xr:uid="{0F7C4AE6-024E-4A53-B9CB-B6537CD3236C}"/>
    <hyperlink ref="B212" r:id="rId106" xr:uid="{F3949786-7099-4BD5-80CB-3C573E325C98}"/>
    <hyperlink ref="B173" r:id="rId107" xr:uid="{6588DADD-CA2F-4041-942D-6F3DBF60E7A6}"/>
    <hyperlink ref="B177" r:id="rId108" xr:uid="{D304DC73-F4EC-4073-9A03-00A326D8FD87}"/>
    <hyperlink ref="B183" r:id="rId109" xr:uid="{59A14FE4-EEE8-4559-9F78-B7B749CC9DFC}"/>
    <hyperlink ref="B185" r:id="rId110" xr:uid="{24E92545-E363-43B2-8D1A-6AB6CAC25756}"/>
    <hyperlink ref="B172" r:id="rId111" xr:uid="{CFD91781-5A4E-4ADD-B087-B402F2B8A123}"/>
    <hyperlink ref="B191" r:id="rId112" xr:uid="{5BDCD19F-624C-4D80-BB87-9AD95DFFF8C5}"/>
    <hyperlink ref="B192" r:id="rId113" xr:uid="{6E4A4624-D196-4DB3-9EBE-1B6DCF616D24}"/>
    <hyperlink ref="B182" r:id="rId114" xr:uid="{D7C966FE-8DC6-49C3-97A1-AE6A2DD8EBA9}"/>
    <hyperlink ref="B193" r:id="rId115" xr:uid="{FDBD19EB-7EC4-4482-9244-A293FAEC6FCD}"/>
    <hyperlink ref="B194" r:id="rId116" xr:uid="{93FAC4CB-6452-4F28-B88E-9B3EB21C7F49}"/>
    <hyperlink ref="B197" r:id="rId117" xr:uid="{95A36115-D633-4066-A2C1-374BAF722493}"/>
    <hyperlink ref="B198" r:id="rId118" xr:uid="{70CBB0C9-3DF0-43E9-90DA-5FCA7994CFC7}"/>
    <hyperlink ref="B199" r:id="rId119" xr:uid="{64ACE3C5-83AF-4340-9A6A-D9F4F4B698CE}"/>
    <hyperlink ref="B211" r:id="rId120" xr:uid="{A4CAC1AD-6E22-4AE5-9FE6-4DF5FAFE7E8E}"/>
    <hyperlink ref="B205" r:id="rId121" xr:uid="{F5A9D894-5B0A-4E5E-BFDA-2FFDAA88C1F8}"/>
    <hyperlink ref="B206" r:id="rId122" xr:uid="{86001CC8-7910-4532-A527-094DF4F58DA8}"/>
    <hyperlink ref="B201" r:id="rId123" xr:uid="{28A312C2-B0AC-4D61-AD57-492E495ADD90}"/>
    <hyperlink ref="B202" r:id="rId124" xr:uid="{A0170454-19B1-4C50-A35B-390972247F38}"/>
    <hyperlink ref="B204" r:id="rId125" xr:uid="{7AD13444-C426-4FF0-B9D0-7B3E15875B59}"/>
    <hyperlink ref="B208" r:id="rId126" xr:uid="{AD4371B4-5E91-493B-AFF1-A54952E48C3C}"/>
    <hyperlink ref="B207" r:id="rId127" xr:uid="{C3A73AE0-368D-4FE9-8229-AE9F5E5226A7}"/>
    <hyperlink ref="B210" r:id="rId128" xr:uid="{12063E8A-0A91-4122-A33E-08BCE98075EF}"/>
    <hyperlink ref="B203" r:id="rId129" xr:uid="{829CAFE6-09FD-492B-B9EC-86783DB00E04}"/>
    <hyperlink ref="B209" r:id="rId130" xr:uid="{0CECA719-28E4-4019-9C3A-D81093783E3B}"/>
    <hyperlink ref="B200" r:id="rId131" xr:uid="{C39B91E3-7366-4169-89C0-AC09B6B03469}"/>
    <hyperlink ref="B175" r:id="rId132" xr:uid="{B951842A-F60A-4DF7-B874-F7EE4C838D0B}"/>
    <hyperlink ref="B179" r:id="rId133" xr:uid="{40BDBDB2-2ACB-46D9-B68D-EBDC361DE579}"/>
    <hyperlink ref="B13" r:id="rId134" xr:uid="{D4C24B7A-5E9E-4395-A6AD-2EBD82535FC8}"/>
    <hyperlink ref="B14" r:id="rId135" xr:uid="{7CE1DF82-A3F4-4CCD-916A-3EF12ED559F3}"/>
    <hyperlink ref="B11" r:id="rId136" xr:uid="{60DF0138-182F-4C73-A06F-437444DA8BEE}"/>
    <hyperlink ref="B12" r:id="rId137" xr:uid="{855E1627-CE5D-4938-B9B6-531BF29CCB7E}"/>
    <hyperlink ref="B15" r:id="rId138" xr:uid="{B9DEF259-D1D3-42BA-961F-FEBE42ACA229}"/>
    <hyperlink ref="B8" r:id="rId139" xr:uid="{392EEB71-4647-4A7B-8DC2-D19A15D7AC5D}"/>
    <hyperlink ref="B214:B219" r:id="rId140" display="See photo" xr:uid="{373ED5FD-BC4A-4500-89BF-8CD500628C5F}"/>
    <hyperlink ref="B214:B220" r:id="rId141" display="See photo" xr:uid="{8B3632A8-0C41-426B-818E-FBD2282EDB63}"/>
    <hyperlink ref="B398:B399" r:id="rId142" display="See photo" xr:uid="{19BE9E22-0CA6-4C20-AF06-379FA1E9D90D}"/>
    <hyperlink ref="B214:B221" r:id="rId143" display="See photo" xr:uid="{EEA4DBAA-9298-4E58-9A6D-CD3ACA068D74}"/>
    <hyperlink ref="B222" r:id="rId144" xr:uid="{FAC608CE-8495-491B-A5FF-C4A79970C5B2}"/>
    <hyperlink ref="B234:B237" r:id="rId145" display="See photo" xr:uid="{BD11458C-38A5-4C0A-83A9-7454B77F22C1}"/>
    <hyperlink ref="B226:B233" r:id="rId146" display="See photo" xr:uid="{E81B0281-7352-4263-9AB5-AA57311F81C5}"/>
    <hyperlink ref="B250:B251" r:id="rId147" display="See photo" xr:uid="{56EAFF26-B6DF-4A97-9589-77968D073CB8}"/>
    <hyperlink ref="B256" r:id="rId148" xr:uid="{50A5E156-3E58-4995-9503-98BCF335E53B}"/>
    <hyperlink ref="B258" r:id="rId149" xr:uid="{462A9BDF-1F60-4D02-9D2F-4D62DB09A239}"/>
    <hyperlink ref="B259:B261" r:id="rId150" display="See photo" xr:uid="{E27F4E94-6CF9-430D-8D48-F07413DF088E}"/>
    <hyperlink ref="B263:B265" r:id="rId151" display="See photo" xr:uid="{B111F11E-CF70-48EB-9F7A-EBBBED8DE24B}"/>
    <hyperlink ref="B267" r:id="rId152" xr:uid="{3F0824EC-6288-4CB7-83CF-A66B56BDA9D9}"/>
    <hyperlink ref="B268" r:id="rId153" xr:uid="{2586883F-396A-4582-9693-A95C7D8B7FF8}"/>
    <hyperlink ref="B278" r:id="rId154" xr:uid="{83BC8B96-E24B-478E-A2EC-4FAE11C0FA56}"/>
    <hyperlink ref="B272" r:id="rId155" xr:uid="{DBEFA74C-F846-40D0-8B5D-9394BE6C3281}"/>
    <hyperlink ref="B274" r:id="rId156" xr:uid="{0F6AF772-54F6-4DD9-87B5-3D9B75FF384B}"/>
    <hyperlink ref="B326:B327" r:id="rId157" display="See photo" xr:uid="{EB9D8435-B1E2-4A68-B1D1-574F6C412A10}"/>
    <hyperlink ref="B328" r:id="rId158" xr:uid="{312BA4DC-0097-415A-9887-FD408FB64185}"/>
    <hyperlink ref="B329" r:id="rId159" xr:uid="{171FE7E5-74C0-4ED2-8B8F-F8D0C527CD6F}"/>
    <hyperlink ref="B333" r:id="rId160" xr:uid="{3A09C079-A073-4551-BA39-3F63F52B73AB}"/>
    <hyperlink ref="B337:B338" r:id="rId161" display="See photo" xr:uid="{8047FF1C-5FDF-4F1B-B053-4A4F2FFAC2A9}"/>
    <hyperlink ref="B347:B350" r:id="rId162" display="See photo" xr:uid="{C9E7180A-A385-4747-B524-891326FA42CD}"/>
    <hyperlink ref="B352" r:id="rId163" xr:uid="{D642DBF0-31C0-442F-8817-B32302B51706}"/>
    <hyperlink ref="B279:B280" r:id="rId164" display="See photo" xr:uid="{6AFEE9AE-6A59-4A1B-82A8-00136E136789}"/>
    <hyperlink ref="B283:B286" r:id="rId165" display="See photo" xr:uid="{8717F9CF-7880-4D6A-94B9-DC125D62086F}"/>
    <hyperlink ref="B287:B292" r:id="rId166" display="See photo" xr:uid="{D97DF0F9-5E40-4C24-A464-25174C26B3DC}"/>
    <hyperlink ref="B295:B296" r:id="rId167" display="See photo" xr:uid="{11949B8A-5BD7-4F5F-BFB5-5B84996146F7}"/>
    <hyperlink ref="B295:B298" r:id="rId168" display="See photo" xr:uid="{21CA02C2-08FA-4A94-B7B4-C11339912D34}"/>
    <hyperlink ref="B299:B301" r:id="rId169" display="See photo" xr:uid="{AFF43D5D-6102-43A6-A131-BA2DD31EE42E}"/>
    <hyperlink ref="B303:B306" r:id="rId170" display="See photo" xr:uid="{DC81A43C-3216-410E-9BCD-0F5326D46E95}"/>
    <hyperlink ref="B307:B308" r:id="rId171" display="See photo" xr:uid="{69C7CB3B-9F64-446D-8A70-4043C65B6E02}"/>
    <hyperlink ref="B311:B316" r:id="rId172" display="See photo" xr:uid="{40631A67-EB79-484F-A305-372284160D41}"/>
    <hyperlink ref="B325" r:id="rId173" xr:uid="{A93D1836-264D-4CC2-B8B5-F97378B54579}"/>
    <hyperlink ref="B362:B364" r:id="rId174" display="See photo" xr:uid="{0A7B09AB-8997-434D-AFB9-472E6C0290C7}"/>
    <hyperlink ref="B366:B368" r:id="rId175" display="See photo" xr:uid="{1F95932E-FFBB-4BFD-B229-111659457AFB}"/>
    <hyperlink ref="B373" r:id="rId176" xr:uid="{B608DDAD-2A46-4425-AF29-87D4466B426E}"/>
    <hyperlink ref="B371" r:id="rId177" xr:uid="{85D2590D-9CE6-4D15-B235-CC453926B010}"/>
    <hyperlink ref="B371:B372" r:id="rId178" display="See photo" xr:uid="{23C51611-AFDD-4CFD-85BE-47485911943B}"/>
    <hyperlink ref="B375:B376" r:id="rId179" display="See photo" xr:uid="{35B29429-60A6-4C3A-A95B-63A6B3271DA5}"/>
    <hyperlink ref="B380" r:id="rId180" xr:uid="{39435BB2-CA94-4D9E-976C-CB3321CB95C6}"/>
    <hyperlink ref="B385:B386" r:id="rId181" display="See photo" xr:uid="{F5E14264-6720-4C0D-B14D-96430D691715}"/>
    <hyperlink ref="B391" r:id="rId182" xr:uid="{6ECD1575-9B0A-4220-B814-68B44CE07E84}"/>
    <hyperlink ref="B392" r:id="rId183" xr:uid="{A8104B32-4984-4940-8733-CD7F8AD5C567}"/>
    <hyperlink ref="B387" r:id="rId184" xr:uid="{5AC4DEDB-37B8-44BB-A444-A9450BA9B45A}"/>
    <hyperlink ref="B390" r:id="rId185" xr:uid="{67022BC0-322C-4F8F-826B-6E5E33D0D19A}"/>
    <hyperlink ref="B394" r:id="rId186" xr:uid="{016BBF80-75F9-417B-B35E-EC585A0BE495}"/>
    <hyperlink ref="B396" r:id="rId187" xr:uid="{BBA6F21C-BD80-4670-A9FF-92AA49E84F79}"/>
    <hyperlink ref="B406" r:id="rId188" xr:uid="{ECC97751-DCAF-4C62-954F-6130F9C67A50}"/>
    <hyperlink ref="B402" r:id="rId189" xr:uid="{5209EEF1-1D35-41CA-936A-35ACC0EFB6D4}"/>
    <hyperlink ref="B408:B409" r:id="rId190" display="See photo" xr:uid="{4F0CF66A-8BC9-46FF-B932-5DE6A672F434}"/>
    <hyperlink ref="B410" r:id="rId191" xr:uid="{0EF67357-0186-4E1C-80AE-EC30603ABE16}"/>
    <hyperlink ref="B411" r:id="rId192" xr:uid="{68AFF254-4964-4D9F-AECA-278B98AD8F75}"/>
    <hyperlink ref="B415" r:id="rId193" xr:uid="{04EE8BCC-EB54-4467-9B3C-576AB52E6AE2}"/>
    <hyperlink ref="B418" r:id="rId194" xr:uid="{B9156406-D1DE-422C-A15C-87FF0EBB0A3B}"/>
    <hyperlink ref="B419" r:id="rId195" xr:uid="{00BE487E-C9C0-413D-87CD-E89110C238DF}"/>
    <hyperlink ref="B416:B417" r:id="rId196" display="See photo" xr:uid="{462FB5AB-42D0-4A83-B746-1D490D7131E9}"/>
    <hyperlink ref="B420" r:id="rId197" xr:uid="{1B137FCF-F2BB-4EAC-A90E-C1D9A032B23E}"/>
    <hyperlink ref="B432" r:id="rId198" xr:uid="{092BF8C0-2F54-4677-B2AE-87B1A8489F84}"/>
    <hyperlink ref="B433" r:id="rId199" xr:uid="{FC260D6F-FC21-42A5-966A-51D7BD27024B}"/>
    <hyperlink ref="B438" r:id="rId200" xr:uid="{E317C6C4-2F44-48A0-A1FC-8B23DE3EF543}"/>
    <hyperlink ref="B439" r:id="rId201" xr:uid="{6C73BC31-966E-46EF-B159-702D14E6CC63}"/>
    <hyperlink ref="B443" r:id="rId202" xr:uid="{E1F1439E-1E03-4A8C-88AF-AE19BD1196B0}"/>
    <hyperlink ref="B444" r:id="rId203" xr:uid="{4F76EEBE-F69B-4BF0-87D3-AF3DAB9B9E22}"/>
    <hyperlink ref="B400" r:id="rId204" xr:uid="{9459979A-0533-4895-8BC5-BC3FD47D7884}"/>
    <hyperlink ref="B343:B344" r:id="rId205" display="See photo" xr:uid="{A2255EFF-B7E5-44EE-99EB-DF421A007729}"/>
    <hyperlink ref="B275:B276" r:id="rId206" display="See photo" xr:uid="{CCBC5EDC-3978-4176-9BB7-AF4A95ABF420}"/>
    <hyperlink ref="B442" r:id="rId207" xr:uid="{43AAD501-782B-406F-B8CC-FB1985176ECF}"/>
    <hyperlink ref="B269:B270" r:id="rId208" display="See photo" xr:uid="{4FADD508-BAF7-4A81-B712-3E4A7F434B57}"/>
    <hyperlink ref="B271" r:id="rId209" xr:uid="{918F6A05-E5A7-4902-B9F5-F6A2EDA1737C}"/>
    <hyperlink ref="B334:B335" r:id="rId210" display="See photo" xr:uid="{8B1FF9CD-E5EA-4352-A025-274EE1DD5647}"/>
    <hyperlink ref="B336" r:id="rId211" xr:uid="{28B95BBC-F3A8-4ACD-93E1-3F5614F700BF}"/>
    <hyperlink ref="B354:B355" r:id="rId212" display="See photo" xr:uid="{83BF9569-A931-4BF0-8ED3-84352E87E523}"/>
    <hyperlink ref="B446" r:id="rId213" display="See photo" xr:uid="{7274EE29-02CE-4E6E-93DA-B78B36785C77}"/>
    <hyperlink ref="B436" r:id="rId214" xr:uid="{C22FF5C9-579B-4846-97E9-45F9E57AB872}"/>
    <hyperlink ref="B180" r:id="rId215" xr:uid="{5296D358-A3BB-488B-86EE-E864939750FD}"/>
    <hyperlink ref="B383" r:id="rId216" xr:uid="{11580B5B-B86A-471C-A7E6-35738B907DF1}"/>
    <hyperlink ref="B434" r:id="rId217" xr:uid="{F391878C-DDFA-4AC7-894E-E4F47C51E941}"/>
    <hyperlink ref="B238:B244" r:id="rId218" display="See photo" xr:uid="{3F3D2FE7-896C-4AED-B6EC-A43AA5465194}"/>
  </hyperlinks>
  <printOptions horizontalCentered="1"/>
  <pageMargins left="0.25" right="0.25" top="0.75" bottom="0.75" header="0.3" footer="0.3"/>
  <pageSetup paperSize="9" scale="51" fitToHeight="0" orientation="portrait" r:id="rId219"/>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F99224058FFD0438626014E30F8E512" ma:contentTypeVersion="1" ma:contentTypeDescription="Crear nuevo documento." ma:contentTypeScope="" ma:versionID="3c1aec941fc65981792a81bf3361f730">
  <xsd:schema xmlns:xsd="http://www.w3.org/2001/XMLSchema" xmlns:xs="http://www.w3.org/2001/XMLSchema" xmlns:p="http://schemas.microsoft.com/office/2006/metadata/properties" xmlns:ns2="efe076e9-c784-4e27-9f9e-e94ba032a1c7" targetNamespace="http://schemas.microsoft.com/office/2006/metadata/properties" ma:root="true" ma:fieldsID="0f4cd26d74b1c57aa4146501fa081d56" ns2:_="">
    <xsd:import namespace="efe076e9-c784-4e27-9f9e-e94ba032a1c7"/>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e076e9-c784-4e27-9f9e-e94ba032a1c7"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C3171E-8093-4187-A8DF-C209971D45F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0CEE956-8512-4089-B7D4-1A0FE7A3C111}">
  <ds:schemaRefs>
    <ds:schemaRef ds:uri="http://schemas.microsoft.com/sharepoint/v3/contenttype/forms"/>
  </ds:schemaRefs>
</ds:datastoreItem>
</file>

<file path=customXml/itemProps3.xml><?xml version="1.0" encoding="utf-8"?>
<ds:datastoreItem xmlns:ds="http://schemas.openxmlformats.org/officeDocument/2006/customXml" ds:itemID="{ED667904-C4EA-4E6B-AEBB-02D1B97556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e076e9-c784-4e27-9f9e-e94ba032a1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COVER</vt:lpstr>
      <vt:lpstr>Instructions</vt:lpstr>
      <vt:lpstr>Tarifa 2026</vt:lpstr>
      <vt:lpstr>PVP 2026</vt:lpstr>
      <vt:lpstr>'PVP 2026'!Área_de_impresión</vt:lpstr>
      <vt:lpstr>'Tarifa 2026'!Área_de_impresión</vt:lpstr>
      <vt:lpstr>'PVP 2026'!Títulos_a_imprimir</vt:lpstr>
      <vt:lpstr>'Tarifa 2026'!Títulos_a_imprimir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GOR FACTORY, S.A.</dc:title>
  <dc:creator/>
  <cp:keywords>WWW.ROLY.ES</cp:keywords>
  <dc:description>www.gorfactory.es</dc:description>
  <cp:lastModifiedBy/>
  <cp:lastPrinted>2015-12-17T12:02:59Z</cp:lastPrinted>
  <dcterms:created xsi:type="dcterms:W3CDTF">2006-09-12T12:46:56Z</dcterms:created>
  <dcterms:modified xsi:type="dcterms:W3CDTF">2026-02-19T11:34:34Z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ublishingExpirationDate">
    <vt:lpwstr/>
  </property>
  <property fmtid="{D5CDD505-2E9C-101B-9397-08002B2CF9AE}" pid="3" name="PublishingStartDate">
    <vt:lpwstr/>
  </property>
</Properties>
</file>